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600" yWindow="375" windowWidth="17715" windowHeight="6360" tabRatio="741" activeTab="1"/>
  </bookViews>
  <sheets>
    <sheet name="PROJET" sheetId="6" r:id="rId1"/>
    <sheet name="Backlog Produit" sheetId="1" r:id="rId2"/>
    <sheet name="Paramètres" sheetId="5" r:id="rId3"/>
    <sheet name="Board  Trello" sheetId="4" r:id="rId4"/>
    <sheet name="Feuil2" sheetId="8" r:id="rId5"/>
  </sheets>
  <definedNames>
    <definedName name="_xlnm._FilterDatabase" localSheetId="1" hidden="1">'Backlog Produit'!$A$3:$J$3</definedName>
    <definedName name="cat">Paramètres!$A$2:$A$25</definedName>
    <definedName name="Caté">Paramètres!$A$2:$A$24</definedName>
    <definedName name="etapes">PROJET!$C$13:$C$18</definedName>
    <definedName name="Priorité">Paramètres!$I$2:$I$16</definedName>
    <definedName name="ressources">Paramètres!$G$2:$G$10</definedName>
    <definedName name="selection">Paramètres!$E$2:$E$4</definedName>
    <definedName name="SousCaté">Paramètres!$C$2:$C$24</definedName>
    <definedName name="Statut">Paramètres!$E$2:$E$6</definedName>
    <definedName name="toto">Paramètres!$E$2:$E$3</definedName>
    <definedName name="_xlnm.Print_Area" localSheetId="1">Tableau1[[#All],[Sprint]:[Critères de Vérification]]</definedName>
  </definedNames>
  <calcPr calcId="152511" concurrentCalc="0"/>
</workbook>
</file>

<file path=xl/calcChain.xml><?xml version="1.0" encoding="utf-8"?>
<calcChain xmlns="http://schemas.openxmlformats.org/spreadsheetml/2006/main">
  <c r="B5" i="8" l="1"/>
  <c r="F288" i="1"/>
  <c r="J288" i="1"/>
</calcChain>
</file>

<file path=xl/sharedStrings.xml><?xml version="1.0" encoding="utf-8"?>
<sst xmlns="http://schemas.openxmlformats.org/spreadsheetml/2006/main" count="189" uniqueCount="117">
  <si>
    <t>Catégorie</t>
  </si>
  <si>
    <t>Estimation</t>
  </si>
  <si>
    <t>Notes</t>
  </si>
  <si>
    <t>Bug</t>
  </si>
  <si>
    <t>Status</t>
  </si>
  <si>
    <t>Selection</t>
  </si>
  <si>
    <t>SPRINT</t>
  </si>
  <si>
    <t>Demo</t>
  </si>
  <si>
    <t>DD/MM/YY</t>
  </si>
  <si>
    <t>Stand-up</t>
  </si>
  <si>
    <t>Sprint</t>
  </si>
  <si>
    <t>Importance</t>
  </si>
  <si>
    <t>SPRINT EN COURS</t>
  </si>
  <si>
    <t>Projet</t>
  </si>
  <si>
    <t>Échéance</t>
  </si>
  <si>
    <t>Budget</t>
  </si>
  <si>
    <t>Durée</t>
  </si>
  <si>
    <t>Objetcif</t>
  </si>
  <si>
    <t>Etapes</t>
  </si>
  <si>
    <t>Ressources</t>
  </si>
  <si>
    <t>Sous catégorie</t>
  </si>
  <si>
    <t>Total</t>
  </si>
  <si>
    <t>f</t>
  </si>
  <si>
    <t>=</t>
  </si>
  <si>
    <t>En cours</t>
  </si>
  <si>
    <t>7 days</t>
  </si>
  <si>
    <t>8h30</t>
  </si>
  <si>
    <t>2 mois</t>
  </si>
  <si>
    <t xml:space="preserve">ETAPES DU PROJET </t>
  </si>
  <si>
    <t>Nom 1</t>
  </si>
  <si>
    <t>Nom 2</t>
  </si>
  <si>
    <t>Nom 3</t>
  </si>
  <si>
    <t>Nom 4</t>
  </si>
  <si>
    <t>Extérieur 1</t>
  </si>
  <si>
    <t>Extérieur 2</t>
  </si>
  <si>
    <t>Extérieur 3</t>
  </si>
  <si>
    <t>Développement fonction…</t>
  </si>
  <si>
    <t>Recherche documentaire…</t>
  </si>
  <si>
    <t>Expert Comptable</t>
  </si>
  <si>
    <t>Expert Juridique</t>
  </si>
  <si>
    <t>Personne En Charge</t>
  </si>
  <si>
    <t>Sous catégories</t>
  </si>
  <si>
    <t>Catégories</t>
  </si>
  <si>
    <t>Dev Logiciel</t>
  </si>
  <si>
    <t>Dev Hardware</t>
  </si>
  <si>
    <t>Dev IHM</t>
  </si>
  <si>
    <t>Priorité</t>
  </si>
  <si>
    <t>Nom / Description</t>
  </si>
  <si>
    <t>Critères de Vérification</t>
  </si>
  <si>
    <t>Terminée</t>
  </si>
  <si>
    <t>Validée</t>
  </si>
  <si>
    <t>…</t>
  </si>
  <si>
    <t>BACKLOG PRODUIT</t>
  </si>
  <si>
    <t>Exemple Board Trello</t>
  </si>
  <si>
    <t>documentation sur les eigenfaces</t>
  </si>
  <si>
    <t>documentation sur les fisherfaces</t>
  </si>
  <si>
    <t>logigramme pour les eigenfaces</t>
  </si>
  <si>
    <t>logigrammme pour les fisherfaces</t>
  </si>
  <si>
    <t>envoyer un mail au prof d'anglais</t>
  </si>
  <si>
    <t>synthese et revision de l'etat de l'art</t>
  </si>
  <si>
    <t>envoyer un mail au client</t>
  </si>
  <si>
    <t>presentation de l'etat de l'art au client</t>
  </si>
  <si>
    <t>email</t>
  </si>
  <si>
    <t>présentation</t>
  </si>
  <si>
    <t>prototype des eigenfaces en python</t>
  </si>
  <si>
    <t>rapport technique pour le prototypage des eigenfaces</t>
  </si>
  <si>
    <t>prototype des fisherfaces en python</t>
  </si>
  <si>
    <t>rapport technique pour le prototypage des fisherfaces</t>
  </si>
  <si>
    <t>rapport technique final</t>
  </si>
  <si>
    <t>synthese du rapport final</t>
  </si>
  <si>
    <t>reunion avec le client</t>
  </si>
  <si>
    <t>preparation de la presentation du rapport final</t>
  </si>
  <si>
    <t>presentation du rapport final</t>
  </si>
  <si>
    <t>analyse des resultats</t>
  </si>
  <si>
    <t>redaction</t>
  </si>
  <si>
    <t>documentation sur la reconnaissance faciale</t>
  </si>
  <si>
    <t>gestion de la configuration</t>
  </si>
  <si>
    <t>documentation sur python et C++</t>
  </si>
  <si>
    <t>rencontre</t>
  </si>
  <si>
    <t>mail pour prendre rendez-vous avec le client</t>
  </si>
  <si>
    <t>exposé l'état de l'art pour validation</t>
  </si>
  <si>
    <t>mail pour l'envoi de l'état de l'art au prof d'anglais pour correction</t>
  </si>
  <si>
    <t>à faire</t>
  </si>
  <si>
    <t>codage de la methode eigenfaces</t>
  </si>
  <si>
    <t>codage de la methode fisherfaces</t>
  </si>
  <si>
    <t>relecture de tous les membres du projet et validation par le client</t>
  </si>
  <si>
    <t>implementation des prototypes</t>
  </si>
  <si>
    <t xml:space="preserve">sauvegarde des résultats </t>
  </si>
  <si>
    <t>relecture par le chargé de la tâche et un autre membre</t>
  </si>
  <si>
    <t>relecture par un des chargés de la tâche et un autre membre</t>
  </si>
  <si>
    <t>relecture par un autre membre</t>
  </si>
  <si>
    <t>relecture par tous les membres du projet</t>
  </si>
  <si>
    <t>uniformisation pour programmation: variables, utilisation de structures, commentaires, environnement de développement IDE</t>
  </si>
  <si>
    <t>conversion etat de l'art en latex</t>
  </si>
  <si>
    <t>Validation par le client</t>
  </si>
  <si>
    <t>Mise à niveau sur les outils ou langages utilisés (python et programmation orientée objet)</t>
  </si>
  <si>
    <t>Partie II de l'état de l'art sur les eigenfaces</t>
  </si>
  <si>
    <t>Présentation du concept de la reconnaissance faciale. Partie I de l'état de l'art</t>
  </si>
  <si>
    <t>Partie III de l'état de l'art sur les fisherfaces</t>
  </si>
  <si>
    <t>Partie III annexe de l'état de l'art</t>
  </si>
  <si>
    <t>Partie II annexe de l'état de l'art</t>
  </si>
  <si>
    <t>mise en forme et synthèse pour l'état de l'art</t>
  </si>
  <si>
    <t>rédaction des slides de présentation du projet</t>
  </si>
  <si>
    <t>prise de rendez-vous avec le client</t>
  </si>
  <si>
    <t>mail pour l'envoi de l'état de l'art au client pour validation</t>
  </si>
  <si>
    <t>debug prototype des fisherfaces en python</t>
  </si>
  <si>
    <t xml:space="preserve">verification des codes </t>
  </si>
  <si>
    <t>debug prototype des eigenfaces en python</t>
  </si>
  <si>
    <t>réunion pour validation du rapport technique</t>
  </si>
  <si>
    <t>exposé des travaux par les membres du groupe</t>
  </si>
  <si>
    <t>répétition de la présentation par les membres du groupe</t>
  </si>
  <si>
    <t>validation par l'équipe</t>
  </si>
  <si>
    <t>rédaction des differentes etapes de codage pour les eigenfaces</t>
  </si>
  <si>
    <t>rédaction des differentes etapes de codage pour les fisherfaces</t>
  </si>
  <si>
    <t>préparation de la rédaction du rapport technique</t>
  </si>
  <si>
    <t>maîtrise des outils de génération de manuel de codes</t>
  </si>
  <si>
    <t>validation par le superviseur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</si>
</sst>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36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4"/>
      <color theme="4" tint="-0.249977111117893"/>
      <name val="Calibri"/>
      <family val="2"/>
      <scheme val="minor"/>
    </font>
    <font>
      <i/>
      <sz val="14"/>
      <color rgb="FFFFC00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scheme val="minor"/>
    </font>
    <font>
      <sz val="11"/>
      <color rgb="FF000000"/>
      <name val="Calibri"/>
    </font>
    <font>
      <sz val="10"/>
      <color theme="1"/>
      <name val="Arial"/>
    </font>
    <font>
      <b/>
      <i/>
      <sz val="36"/>
      <color theme="0"/>
      <name val="Calibri"/>
      <family val="2"/>
      <scheme val="minor"/>
    </font>
    <font>
      <b/>
      <sz val="11"/>
      <color theme="1" tint="0.34998626667073579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84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4" borderId="4" xfId="2" applyFont="1" applyBorder="1" applyAlignment="1">
      <alignment wrapText="1"/>
    </xf>
    <xf numFmtId="0" fontId="9" fillId="4" borderId="5" xfId="2" applyFont="1" applyBorder="1" applyAlignment="1">
      <alignment wrapText="1"/>
    </xf>
    <xf numFmtId="15" fontId="9" fillId="4" borderId="5" xfId="2" applyNumberFormat="1" applyFont="1" applyBorder="1" applyAlignment="1">
      <alignment horizontal="left" wrapText="1"/>
    </xf>
    <xf numFmtId="0" fontId="6" fillId="0" borderId="6" xfId="1" applyBorder="1" applyAlignment="1">
      <alignment horizontal="left" vertical="center"/>
    </xf>
    <xf numFmtId="0" fontId="6" fillId="0" borderId="7" xfId="1" applyBorder="1" applyAlignment="1">
      <alignment horizontal="left" vertical="center"/>
    </xf>
    <xf numFmtId="0" fontId="6" fillId="0" borderId="8" xfId="1" applyBorder="1" applyAlignment="1">
      <alignment horizontal="left" vertical="center"/>
    </xf>
    <xf numFmtId="0" fontId="9" fillId="4" borderId="9" xfId="2" applyFont="1" applyBorder="1" applyAlignment="1">
      <alignment wrapText="1"/>
    </xf>
    <xf numFmtId="0" fontId="7" fillId="0" borderId="0" xfId="0" applyFont="1" applyAlignment="1">
      <alignment horizont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0" xfId="0" applyAlignment="1">
      <alignment horizontal="center"/>
    </xf>
    <xf numFmtId="0" fontId="13" fillId="0" borderId="0" xfId="0" applyFont="1"/>
    <xf numFmtId="0" fontId="13" fillId="5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49" fontId="17" fillId="0" borderId="1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8" fillId="6" borderId="0" xfId="0" applyFont="1" applyFill="1" applyAlignment="1">
      <alignment horizontal="left" vertical="center"/>
    </xf>
    <xf numFmtId="0" fontId="18" fillId="6" borderId="0" xfId="0" applyFont="1" applyFill="1"/>
    <xf numFmtId="0" fontId="19" fillId="0" borderId="0" xfId="0" applyFont="1" applyAlignment="1">
      <alignment horizontal="left" vertical="center"/>
    </xf>
    <xf numFmtId="0" fontId="0" fillId="0" borderId="1" xfId="0" quotePrefix="1" applyBorder="1" applyAlignment="1">
      <alignment horizontal="left" vertical="center" wrapText="1"/>
    </xf>
    <xf numFmtId="49" fontId="23" fillId="0" borderId="1" xfId="0" applyNumberFormat="1" applyFont="1" applyFill="1" applyBorder="1" applyAlignment="1">
      <alignment horizontal="center" vertical="center" wrapText="1"/>
    </xf>
    <xf numFmtId="49" fontId="26" fillId="0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 wrapText="1"/>
    </xf>
    <xf numFmtId="9" fontId="0" fillId="0" borderId="1" xfId="0" applyNumberFormat="1" applyBorder="1" applyAlignment="1">
      <alignment vertical="center" wrapText="1"/>
    </xf>
    <xf numFmtId="0" fontId="31" fillId="0" borderId="0" xfId="0" applyFont="1" applyBorder="1" applyAlignment="1">
      <alignment horizontal="center" wrapText="1"/>
    </xf>
    <xf numFmtId="0" fontId="31" fillId="0" borderId="0" xfId="0" applyFont="1" applyBorder="1" applyAlignment="1">
      <alignment horizontal="center" vertical="center" wrapText="1"/>
    </xf>
    <xf numFmtId="49" fontId="29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left" vertical="center" wrapText="1"/>
    </xf>
    <xf numFmtId="0" fontId="30" fillId="0" borderId="1" xfId="0" applyFont="1" applyFill="1" applyBorder="1" applyAlignment="1">
      <alignment horizontal="left" vertical="center" wrapText="1"/>
    </xf>
    <xf numFmtId="0" fontId="25" fillId="0" borderId="1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Border="1"/>
    <xf numFmtId="0" fontId="11" fillId="0" borderId="1" xfId="0" applyFont="1" applyBorder="1" applyAlignment="1">
      <alignment horizontal="center" wrapText="1"/>
    </xf>
    <xf numFmtId="0" fontId="22" fillId="0" borderId="1" xfId="0" applyFont="1" applyBorder="1" applyAlignment="1">
      <alignment horizontal="center" wrapText="1"/>
    </xf>
    <xf numFmtId="0" fontId="24" fillId="0" borderId="1" xfId="0" applyFont="1" applyFill="1" applyBorder="1" applyAlignment="1">
      <alignment horizontal="left" vertical="center" wrapText="1"/>
    </xf>
    <xf numFmtId="0" fontId="31" fillId="0" borderId="1" xfId="0" applyFont="1" applyBorder="1" applyAlignment="1">
      <alignment horizontal="center" wrapText="1"/>
    </xf>
    <xf numFmtId="0" fontId="28" fillId="0" borderId="1" xfId="0" applyFont="1" applyBorder="1" applyAlignment="1">
      <alignment horizont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wrapText="1"/>
    </xf>
    <xf numFmtId="0" fontId="21" fillId="0" borderId="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Border="1"/>
    <xf numFmtId="0" fontId="21" fillId="0" borderId="0" xfId="0" applyFont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33" fillId="0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32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34" fillId="2" borderId="0" xfId="0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</cellXfs>
  <cellStyles count="3">
    <cellStyle name="60 % - Accent1" xfId="2" builtinId="32"/>
    <cellStyle name="Normal" xfId="0" builtinId="0"/>
    <cellStyle name="Titre" xfId="1" builtinId="15"/>
  </cellStyles>
  <dxfs count="57">
    <dxf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alignment textRotation="0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textRotation="0" wrapTex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276226</xdr:colOff>
      <xdr:row>3</xdr:row>
      <xdr:rowOff>19050</xdr:rowOff>
    </xdr:from>
    <xdr:to>
      <xdr:col>5</xdr:col>
      <xdr:colOff>352426</xdr:colOff>
      <xdr:row>25</xdr:row>
      <xdr:rowOff>28575</xdr:rowOff>
    </xdr:to>
    <xdr:sp macro="" textlink="">
      <xdr:nvSpPr>
        <xdr:cNvPr id="56" name="Rectangle 55"/>
        <xdr:cNvSpPr/>
      </xdr:nvSpPr>
      <xdr:spPr>
        <a:xfrm>
          <a:off x="3324226" y="590550"/>
          <a:ext cx="83820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133351</xdr:colOff>
      <xdr:row>3</xdr:row>
      <xdr:rowOff>19050</xdr:rowOff>
    </xdr:from>
    <xdr:to>
      <xdr:col>2</xdr:col>
      <xdr:colOff>495301</xdr:colOff>
      <xdr:row>25</xdr:row>
      <xdr:rowOff>28575</xdr:rowOff>
    </xdr:to>
    <xdr:sp macro="" textlink="">
      <xdr:nvSpPr>
        <xdr:cNvPr id="3" name="Rectangle 2"/>
        <xdr:cNvSpPr/>
      </xdr:nvSpPr>
      <xdr:spPr>
        <a:xfrm>
          <a:off x="133351" y="590550"/>
          <a:ext cx="188595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628650</xdr:colOff>
      <xdr:row>3</xdr:row>
      <xdr:rowOff>28575</xdr:rowOff>
    </xdr:from>
    <xdr:to>
      <xdr:col>4</xdr:col>
      <xdr:colOff>238125</xdr:colOff>
      <xdr:row>25</xdr:row>
      <xdr:rowOff>38100</xdr:rowOff>
    </xdr:to>
    <xdr:sp macro="" textlink="">
      <xdr:nvSpPr>
        <xdr:cNvPr id="4" name="Rectangle 3"/>
        <xdr:cNvSpPr/>
      </xdr:nvSpPr>
      <xdr:spPr>
        <a:xfrm>
          <a:off x="2152650" y="600075"/>
          <a:ext cx="1133475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209548</xdr:colOff>
      <xdr:row>3</xdr:row>
      <xdr:rowOff>9525</xdr:rowOff>
    </xdr:from>
    <xdr:to>
      <xdr:col>9</xdr:col>
      <xdr:colOff>704849</xdr:colOff>
      <xdr:row>25</xdr:row>
      <xdr:rowOff>19050</xdr:rowOff>
    </xdr:to>
    <xdr:sp macro="" textlink="">
      <xdr:nvSpPr>
        <xdr:cNvPr id="5" name="Rectangle 4"/>
        <xdr:cNvSpPr/>
      </xdr:nvSpPr>
      <xdr:spPr>
        <a:xfrm>
          <a:off x="5543548" y="581025"/>
          <a:ext cx="2019301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438150</xdr:colOff>
      <xdr:row>3</xdr:row>
      <xdr:rowOff>180975</xdr:rowOff>
    </xdr:from>
    <xdr:to>
      <xdr:col>13</xdr:col>
      <xdr:colOff>314325</xdr:colOff>
      <xdr:row>14</xdr:row>
      <xdr:rowOff>19050</xdr:rowOff>
    </xdr:to>
    <xdr:sp macro="" textlink="">
      <xdr:nvSpPr>
        <xdr:cNvPr id="7" name="Rectangle 6"/>
        <xdr:cNvSpPr/>
      </xdr:nvSpPr>
      <xdr:spPr>
        <a:xfrm>
          <a:off x="8820150" y="752475"/>
          <a:ext cx="140017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428625</xdr:colOff>
      <xdr:row>15</xdr:row>
      <xdr:rowOff>0</xdr:rowOff>
    </xdr:from>
    <xdr:to>
      <xdr:col>13</xdr:col>
      <xdr:colOff>323850</xdr:colOff>
      <xdr:row>25</xdr:row>
      <xdr:rowOff>28575</xdr:rowOff>
    </xdr:to>
    <xdr:sp macro="" textlink="">
      <xdr:nvSpPr>
        <xdr:cNvPr id="8" name="Rectangle 7"/>
        <xdr:cNvSpPr/>
      </xdr:nvSpPr>
      <xdr:spPr>
        <a:xfrm>
          <a:off x="8810625" y="2857500"/>
          <a:ext cx="141922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190500</xdr:colOff>
      <xdr:row>3</xdr:row>
      <xdr:rowOff>38100</xdr:rowOff>
    </xdr:from>
    <xdr:ext cx="609911" cy="311496"/>
    <xdr:sp macro="" textlink="">
      <xdr:nvSpPr>
        <xdr:cNvPr id="9" name="ZoneTexte 8"/>
        <xdr:cNvSpPr txBox="1"/>
      </xdr:nvSpPr>
      <xdr:spPr>
        <a:xfrm>
          <a:off x="19050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4</xdr:col>
      <xdr:colOff>361950</xdr:colOff>
      <xdr:row>4</xdr:row>
      <xdr:rowOff>19050</xdr:rowOff>
    </xdr:from>
    <xdr:ext cx="580928" cy="311496"/>
    <xdr:sp macro="" textlink="">
      <xdr:nvSpPr>
        <xdr:cNvPr id="10" name="ZoneTexte 9"/>
        <xdr:cNvSpPr txBox="1"/>
      </xdr:nvSpPr>
      <xdr:spPr>
        <a:xfrm>
          <a:off x="3409950" y="781050"/>
          <a:ext cx="58092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WAIT</a:t>
          </a:r>
        </a:p>
      </xdr:txBody>
    </xdr:sp>
    <xdr:clientData/>
  </xdr:oneCellAnchor>
  <xdr:oneCellAnchor>
    <xdr:from>
      <xdr:col>8</xdr:col>
      <xdr:colOff>514350</xdr:colOff>
      <xdr:row>3</xdr:row>
      <xdr:rowOff>76200</xdr:rowOff>
    </xdr:from>
    <xdr:ext cx="617541" cy="311496"/>
    <xdr:sp macro="" textlink="">
      <xdr:nvSpPr>
        <xdr:cNvPr id="11" name="ZoneTexte 10"/>
        <xdr:cNvSpPr txBox="1"/>
      </xdr:nvSpPr>
      <xdr:spPr>
        <a:xfrm>
          <a:off x="6610350" y="64770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twoCellAnchor>
    <xdr:from>
      <xdr:col>5</xdr:col>
      <xdr:colOff>390524</xdr:colOff>
      <xdr:row>3</xdr:row>
      <xdr:rowOff>9525</xdr:rowOff>
    </xdr:from>
    <xdr:to>
      <xdr:col>7</xdr:col>
      <xdr:colOff>66675</xdr:colOff>
      <xdr:row>25</xdr:row>
      <xdr:rowOff>28575</xdr:rowOff>
    </xdr:to>
    <xdr:sp macro="" textlink="">
      <xdr:nvSpPr>
        <xdr:cNvPr id="12" name="Rectangle 11"/>
        <xdr:cNvSpPr/>
      </xdr:nvSpPr>
      <xdr:spPr>
        <a:xfrm>
          <a:off x="4200524" y="581025"/>
          <a:ext cx="1200151" cy="421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295276</xdr:colOff>
      <xdr:row>1</xdr:row>
      <xdr:rowOff>133350</xdr:rowOff>
    </xdr:from>
    <xdr:ext cx="1552574" cy="468013"/>
    <xdr:sp macro="" textlink="">
      <xdr:nvSpPr>
        <xdr:cNvPr id="13" name="ZoneTexte 12"/>
        <xdr:cNvSpPr txBox="1"/>
      </xdr:nvSpPr>
      <xdr:spPr>
        <a:xfrm>
          <a:off x="295276" y="323850"/>
          <a:ext cx="15525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ANALYSE</a:t>
          </a:r>
        </a:p>
      </xdr:txBody>
    </xdr:sp>
    <xdr:clientData/>
  </xdr:oneCellAnchor>
  <xdr:oneCellAnchor>
    <xdr:from>
      <xdr:col>11</xdr:col>
      <xdr:colOff>476250</xdr:colOff>
      <xdr:row>4</xdr:row>
      <xdr:rowOff>57150</xdr:rowOff>
    </xdr:from>
    <xdr:ext cx="1245149" cy="311496"/>
    <xdr:sp macro="" textlink="">
      <xdr:nvSpPr>
        <xdr:cNvPr id="16" name="ZoneTexte 15"/>
        <xdr:cNvSpPr txBox="1"/>
      </xdr:nvSpPr>
      <xdr:spPr>
        <a:xfrm>
          <a:off x="8858250" y="819150"/>
          <a:ext cx="124514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Technical</a:t>
          </a:r>
          <a:r>
            <a:rPr lang="fr-FR" sz="1400" baseline="0">
              <a:solidFill>
                <a:schemeClr val="bg1"/>
              </a:solidFill>
            </a:rPr>
            <a:t> stuff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11</xdr:col>
      <xdr:colOff>676275</xdr:colOff>
      <xdr:row>15</xdr:row>
      <xdr:rowOff>28575</xdr:rowOff>
    </xdr:from>
    <xdr:ext cx="949555" cy="311496"/>
    <xdr:sp macro="" textlink="">
      <xdr:nvSpPr>
        <xdr:cNvPr id="17" name="ZoneTexte 16"/>
        <xdr:cNvSpPr txBox="1"/>
      </xdr:nvSpPr>
      <xdr:spPr>
        <a:xfrm>
          <a:off x="9058275" y="2886075"/>
          <a:ext cx="94955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Next</a:t>
          </a:r>
          <a:r>
            <a:rPr lang="fr-FR" sz="1400" baseline="0">
              <a:solidFill>
                <a:schemeClr val="bg1"/>
              </a:solidFill>
            </a:rPr>
            <a:t> Story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7</xdr:col>
      <xdr:colOff>381000</xdr:colOff>
      <xdr:row>5</xdr:row>
      <xdr:rowOff>38100</xdr:rowOff>
    </xdr:from>
    <xdr:to>
      <xdr:col>8</xdr:col>
      <xdr:colOff>390525</xdr:colOff>
      <xdr:row>7</xdr:row>
      <xdr:rowOff>133350</xdr:rowOff>
    </xdr:to>
    <xdr:sp macro="" textlink="">
      <xdr:nvSpPr>
        <xdr:cNvPr id="18" name="Arrondir un rectangle avec un coin diagonal 17"/>
        <xdr:cNvSpPr/>
      </xdr:nvSpPr>
      <xdr:spPr>
        <a:xfrm>
          <a:off x="5715000" y="99060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Story</a:t>
          </a:r>
        </a:p>
      </xdr:txBody>
    </xdr:sp>
    <xdr:clientData/>
  </xdr:twoCellAnchor>
  <xdr:twoCellAnchor>
    <xdr:from>
      <xdr:col>5</xdr:col>
      <xdr:colOff>609600</xdr:colOff>
      <xdr:row>8</xdr:row>
      <xdr:rowOff>133350</xdr:rowOff>
    </xdr:from>
    <xdr:to>
      <xdr:col>6</xdr:col>
      <xdr:colOff>619125</xdr:colOff>
      <xdr:row>11</xdr:row>
      <xdr:rowOff>38100</xdr:rowOff>
    </xdr:to>
    <xdr:sp macro="" textlink="">
      <xdr:nvSpPr>
        <xdr:cNvPr id="19" name="Arrondir un rectangle avec un coin diagonal 18"/>
        <xdr:cNvSpPr/>
      </xdr:nvSpPr>
      <xdr:spPr>
        <a:xfrm>
          <a:off x="4419600" y="1657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7</xdr:row>
      <xdr:rowOff>123825</xdr:rowOff>
    </xdr:from>
    <xdr:to>
      <xdr:col>1</xdr:col>
      <xdr:colOff>247650</xdr:colOff>
      <xdr:row>10</xdr:row>
      <xdr:rowOff>28575</xdr:rowOff>
    </xdr:to>
    <xdr:sp macro="" textlink="">
      <xdr:nvSpPr>
        <xdr:cNvPr id="20" name="Arrondir un rectangle avec un coin diagonal 19"/>
        <xdr:cNvSpPr/>
      </xdr:nvSpPr>
      <xdr:spPr>
        <a:xfrm>
          <a:off x="238125" y="14573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257175</xdr:colOff>
      <xdr:row>19</xdr:row>
      <xdr:rowOff>142875</xdr:rowOff>
    </xdr:from>
    <xdr:to>
      <xdr:col>1</xdr:col>
      <xdr:colOff>266700</xdr:colOff>
      <xdr:row>22</xdr:row>
      <xdr:rowOff>47625</xdr:rowOff>
    </xdr:to>
    <xdr:sp macro="" textlink="">
      <xdr:nvSpPr>
        <xdr:cNvPr id="21" name="Arrondir un rectangle avec un coin diagonal 20"/>
        <xdr:cNvSpPr/>
      </xdr:nvSpPr>
      <xdr:spPr>
        <a:xfrm>
          <a:off x="257175" y="376237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514350</xdr:colOff>
      <xdr:row>17</xdr:row>
      <xdr:rowOff>171450</xdr:rowOff>
    </xdr:from>
    <xdr:to>
      <xdr:col>12</xdr:col>
      <xdr:colOff>523875</xdr:colOff>
      <xdr:row>20</xdr:row>
      <xdr:rowOff>76200</xdr:rowOff>
    </xdr:to>
    <xdr:sp macro="" textlink="">
      <xdr:nvSpPr>
        <xdr:cNvPr id="22" name="Arrondir un rectangle avec un coin diagonal 21"/>
        <xdr:cNvSpPr/>
      </xdr:nvSpPr>
      <xdr:spPr>
        <a:xfrm>
          <a:off x="8896350" y="34099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666750</xdr:colOff>
      <xdr:row>18</xdr:row>
      <xdr:rowOff>133350</xdr:rowOff>
    </xdr:from>
    <xdr:to>
      <xdr:col>12</xdr:col>
      <xdr:colOff>676275</xdr:colOff>
      <xdr:row>21</xdr:row>
      <xdr:rowOff>38100</xdr:rowOff>
    </xdr:to>
    <xdr:sp macro="" textlink="">
      <xdr:nvSpPr>
        <xdr:cNvPr id="23" name="Arrondir un rectangle avec un coin diagonal 22"/>
        <xdr:cNvSpPr/>
      </xdr:nvSpPr>
      <xdr:spPr>
        <a:xfrm>
          <a:off x="9048750" y="3562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57150</xdr:colOff>
      <xdr:row>19</xdr:row>
      <xdr:rowOff>95250</xdr:rowOff>
    </xdr:from>
    <xdr:to>
      <xdr:col>13</xdr:col>
      <xdr:colOff>66675</xdr:colOff>
      <xdr:row>22</xdr:row>
      <xdr:rowOff>0</xdr:rowOff>
    </xdr:to>
    <xdr:sp macro="" textlink="">
      <xdr:nvSpPr>
        <xdr:cNvPr id="24" name="Arrondir un rectangle avec un coin diagonal 23"/>
        <xdr:cNvSpPr/>
      </xdr:nvSpPr>
      <xdr:spPr>
        <a:xfrm>
          <a:off x="9201150" y="37147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209550</xdr:colOff>
      <xdr:row>20</xdr:row>
      <xdr:rowOff>57150</xdr:rowOff>
    </xdr:from>
    <xdr:to>
      <xdr:col>13</xdr:col>
      <xdr:colOff>219075</xdr:colOff>
      <xdr:row>22</xdr:row>
      <xdr:rowOff>152400</xdr:rowOff>
    </xdr:to>
    <xdr:sp macro="" textlink="">
      <xdr:nvSpPr>
        <xdr:cNvPr id="25" name="Arrondir un rectangle avec un coin diagonal 24"/>
        <xdr:cNvSpPr/>
      </xdr:nvSpPr>
      <xdr:spPr>
        <a:xfrm>
          <a:off x="9353550" y="38671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314325</xdr:colOff>
      <xdr:row>6</xdr:row>
      <xdr:rowOff>171450</xdr:rowOff>
    </xdr:from>
    <xdr:to>
      <xdr:col>8</xdr:col>
      <xdr:colOff>9525</xdr:colOff>
      <xdr:row>8</xdr:row>
      <xdr:rowOff>104775</xdr:rowOff>
    </xdr:to>
    <xdr:sp macro="" textlink="">
      <xdr:nvSpPr>
        <xdr:cNvPr id="26" name="Rectangle à coins arrondis 25"/>
        <xdr:cNvSpPr/>
      </xdr:nvSpPr>
      <xdr:spPr>
        <a:xfrm>
          <a:off x="5648325" y="1314450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428625</xdr:colOff>
      <xdr:row>7</xdr:row>
      <xdr:rowOff>104775</xdr:rowOff>
    </xdr:from>
    <xdr:to>
      <xdr:col>8</xdr:col>
      <xdr:colOff>123825</xdr:colOff>
      <xdr:row>9</xdr:row>
      <xdr:rowOff>38100</xdr:rowOff>
    </xdr:to>
    <xdr:sp macro="" textlink="">
      <xdr:nvSpPr>
        <xdr:cNvPr id="27" name="Rectangle à coins arrondis 26"/>
        <xdr:cNvSpPr/>
      </xdr:nvSpPr>
      <xdr:spPr>
        <a:xfrm>
          <a:off x="5762625" y="143827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523875</xdr:colOff>
      <xdr:row>8</xdr:row>
      <xdr:rowOff>9525</xdr:rowOff>
    </xdr:from>
    <xdr:to>
      <xdr:col>8</xdr:col>
      <xdr:colOff>219075</xdr:colOff>
      <xdr:row>9</xdr:row>
      <xdr:rowOff>133350</xdr:rowOff>
    </xdr:to>
    <xdr:sp macro="" textlink="">
      <xdr:nvSpPr>
        <xdr:cNvPr id="28" name="Rectangle à coins arrondis 27"/>
        <xdr:cNvSpPr/>
      </xdr:nvSpPr>
      <xdr:spPr>
        <a:xfrm>
          <a:off x="5857875" y="153352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647700</xdr:colOff>
      <xdr:row>8</xdr:row>
      <xdr:rowOff>76200</xdr:rowOff>
    </xdr:from>
    <xdr:to>
      <xdr:col>8</xdr:col>
      <xdr:colOff>381000</xdr:colOff>
      <xdr:row>10</xdr:row>
      <xdr:rowOff>9525</xdr:rowOff>
    </xdr:to>
    <xdr:sp macro="" textlink="">
      <xdr:nvSpPr>
        <xdr:cNvPr id="29" name="Rectangle à coins arrondis 28"/>
        <xdr:cNvSpPr/>
      </xdr:nvSpPr>
      <xdr:spPr>
        <a:xfrm>
          <a:off x="5981700" y="1600200"/>
          <a:ext cx="4953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bug</a:t>
          </a:r>
        </a:p>
      </xdr:txBody>
    </xdr:sp>
    <xdr:clientData/>
  </xdr:twoCellAnchor>
  <xdr:twoCellAnchor>
    <xdr:from>
      <xdr:col>5</xdr:col>
      <xdr:colOff>485775</xdr:colOff>
      <xdr:row>10</xdr:row>
      <xdr:rowOff>47625</xdr:rowOff>
    </xdr:from>
    <xdr:to>
      <xdr:col>6</xdr:col>
      <xdr:colOff>180975</xdr:colOff>
      <xdr:row>11</xdr:row>
      <xdr:rowOff>171450</xdr:rowOff>
    </xdr:to>
    <xdr:sp macro="" textlink="">
      <xdr:nvSpPr>
        <xdr:cNvPr id="30" name="Rectangle à coins arrondis 29"/>
        <xdr:cNvSpPr/>
      </xdr:nvSpPr>
      <xdr:spPr>
        <a:xfrm>
          <a:off x="4295775" y="19526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742950</xdr:colOff>
      <xdr:row>10</xdr:row>
      <xdr:rowOff>171450</xdr:rowOff>
    </xdr:from>
    <xdr:to>
      <xdr:col>6</xdr:col>
      <xdr:colOff>438150</xdr:colOff>
      <xdr:row>12</xdr:row>
      <xdr:rowOff>104775</xdr:rowOff>
    </xdr:to>
    <xdr:sp macro="" textlink="">
      <xdr:nvSpPr>
        <xdr:cNvPr id="31" name="Rectangle à coins arrondis 30"/>
        <xdr:cNvSpPr/>
      </xdr:nvSpPr>
      <xdr:spPr>
        <a:xfrm>
          <a:off x="4552950" y="20764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11</xdr:row>
      <xdr:rowOff>38100</xdr:rowOff>
    </xdr:from>
    <xdr:to>
      <xdr:col>6</xdr:col>
      <xdr:colOff>609600</xdr:colOff>
      <xdr:row>12</xdr:row>
      <xdr:rowOff>161925</xdr:rowOff>
    </xdr:to>
    <xdr:sp macro="" textlink="">
      <xdr:nvSpPr>
        <xdr:cNvPr id="32" name="Rectangle à coins arrondis 31"/>
        <xdr:cNvSpPr/>
      </xdr:nvSpPr>
      <xdr:spPr>
        <a:xfrm>
          <a:off x="4724400" y="213360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12</xdr:row>
      <xdr:rowOff>9525</xdr:rowOff>
    </xdr:from>
    <xdr:to>
      <xdr:col>6</xdr:col>
      <xdr:colOff>609600</xdr:colOff>
      <xdr:row>13</xdr:row>
      <xdr:rowOff>133350</xdr:rowOff>
    </xdr:to>
    <xdr:sp macro="" textlink="">
      <xdr:nvSpPr>
        <xdr:cNvPr id="33" name="Rectangle à coins arrondis 32"/>
        <xdr:cNvSpPr/>
      </xdr:nvSpPr>
      <xdr:spPr>
        <a:xfrm>
          <a:off x="472440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485775</xdr:colOff>
      <xdr:row>9</xdr:row>
      <xdr:rowOff>57150</xdr:rowOff>
    </xdr:from>
    <xdr:to>
      <xdr:col>1</xdr:col>
      <xdr:colOff>180975</xdr:colOff>
      <xdr:row>10</xdr:row>
      <xdr:rowOff>180975</xdr:rowOff>
    </xdr:to>
    <xdr:sp macro="" textlink="">
      <xdr:nvSpPr>
        <xdr:cNvPr id="34" name="Rectangle à coins arrondis 33"/>
        <xdr:cNvSpPr/>
      </xdr:nvSpPr>
      <xdr:spPr>
        <a:xfrm>
          <a:off x="485775" y="17716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742950</xdr:colOff>
      <xdr:row>12</xdr:row>
      <xdr:rowOff>9525</xdr:rowOff>
    </xdr:from>
    <xdr:to>
      <xdr:col>3</xdr:col>
      <xdr:colOff>438150</xdr:colOff>
      <xdr:row>13</xdr:row>
      <xdr:rowOff>133350</xdr:rowOff>
    </xdr:to>
    <xdr:sp macro="" textlink="">
      <xdr:nvSpPr>
        <xdr:cNvPr id="35" name="Rectangle à coins arrondis 34"/>
        <xdr:cNvSpPr/>
      </xdr:nvSpPr>
      <xdr:spPr>
        <a:xfrm>
          <a:off x="22669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476250</xdr:colOff>
      <xdr:row>12</xdr:row>
      <xdr:rowOff>9525</xdr:rowOff>
    </xdr:from>
    <xdr:to>
      <xdr:col>4</xdr:col>
      <xdr:colOff>171450</xdr:colOff>
      <xdr:row>13</xdr:row>
      <xdr:rowOff>133350</xdr:rowOff>
    </xdr:to>
    <xdr:sp macro="" textlink="">
      <xdr:nvSpPr>
        <xdr:cNvPr id="36" name="Rectangle à coins arrondis 35"/>
        <xdr:cNvSpPr/>
      </xdr:nvSpPr>
      <xdr:spPr>
        <a:xfrm>
          <a:off x="27622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</xdr:colOff>
      <xdr:row>20</xdr:row>
      <xdr:rowOff>180975</xdr:rowOff>
    </xdr:from>
    <xdr:to>
      <xdr:col>1</xdr:col>
      <xdr:colOff>523875</xdr:colOff>
      <xdr:row>22</xdr:row>
      <xdr:rowOff>114300</xdr:rowOff>
    </xdr:to>
    <xdr:sp macro="" textlink="">
      <xdr:nvSpPr>
        <xdr:cNvPr id="37" name="Rectangle à coins arrondis 36"/>
        <xdr:cNvSpPr/>
      </xdr:nvSpPr>
      <xdr:spPr>
        <a:xfrm>
          <a:off x="828675" y="39909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409575</xdr:colOff>
      <xdr:row>21</xdr:row>
      <xdr:rowOff>161925</xdr:rowOff>
    </xdr:from>
    <xdr:to>
      <xdr:col>4</xdr:col>
      <xdr:colOff>104775</xdr:colOff>
      <xdr:row>23</xdr:row>
      <xdr:rowOff>95250</xdr:rowOff>
    </xdr:to>
    <xdr:sp macro="" textlink="">
      <xdr:nvSpPr>
        <xdr:cNvPr id="38" name="Rectangle à coins arrondis 37"/>
        <xdr:cNvSpPr/>
      </xdr:nvSpPr>
      <xdr:spPr>
        <a:xfrm>
          <a:off x="2695575" y="41624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342900</xdr:colOff>
      <xdr:row>21</xdr:row>
      <xdr:rowOff>66675</xdr:rowOff>
    </xdr:from>
    <xdr:to>
      <xdr:col>1</xdr:col>
      <xdr:colOff>38100</xdr:colOff>
      <xdr:row>23</xdr:row>
      <xdr:rowOff>0</xdr:rowOff>
    </xdr:to>
    <xdr:sp macro="" textlink="">
      <xdr:nvSpPr>
        <xdr:cNvPr id="39" name="Rectangle à coins arrondis 38"/>
        <xdr:cNvSpPr/>
      </xdr:nvSpPr>
      <xdr:spPr>
        <a:xfrm>
          <a:off x="342900" y="40671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466725</xdr:colOff>
      <xdr:row>6</xdr:row>
      <xdr:rowOff>76200</xdr:rowOff>
    </xdr:from>
    <xdr:to>
      <xdr:col>13</xdr:col>
      <xdr:colOff>161925</xdr:colOff>
      <xdr:row>8</xdr:row>
      <xdr:rowOff>9525</xdr:rowOff>
    </xdr:to>
    <xdr:sp macro="" textlink="">
      <xdr:nvSpPr>
        <xdr:cNvPr id="41" name="Rectangle à coins arrondis 40"/>
        <xdr:cNvSpPr/>
      </xdr:nvSpPr>
      <xdr:spPr>
        <a:xfrm>
          <a:off x="9610725" y="1219200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695325</xdr:colOff>
      <xdr:row>6</xdr:row>
      <xdr:rowOff>66675</xdr:rowOff>
    </xdr:from>
    <xdr:to>
      <xdr:col>12</xdr:col>
      <xdr:colOff>390525</xdr:colOff>
      <xdr:row>8</xdr:row>
      <xdr:rowOff>0</xdr:rowOff>
    </xdr:to>
    <xdr:sp macro="" textlink="">
      <xdr:nvSpPr>
        <xdr:cNvPr id="42" name="Rectangle à coins arrondis 41"/>
        <xdr:cNvSpPr/>
      </xdr:nvSpPr>
      <xdr:spPr>
        <a:xfrm>
          <a:off x="9077325" y="1209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200025</xdr:colOff>
      <xdr:row>8</xdr:row>
      <xdr:rowOff>66675</xdr:rowOff>
    </xdr:from>
    <xdr:to>
      <xdr:col>12</xdr:col>
      <xdr:colOff>657225</xdr:colOff>
      <xdr:row>10</xdr:row>
      <xdr:rowOff>0</xdr:rowOff>
    </xdr:to>
    <xdr:sp macro="" textlink="">
      <xdr:nvSpPr>
        <xdr:cNvPr id="43" name="Rectangle à coins arrondis 42"/>
        <xdr:cNvSpPr/>
      </xdr:nvSpPr>
      <xdr:spPr>
        <a:xfrm>
          <a:off x="9344025" y="1590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247649</xdr:colOff>
      <xdr:row>25</xdr:row>
      <xdr:rowOff>171450</xdr:rowOff>
    </xdr:from>
    <xdr:to>
      <xdr:col>9</xdr:col>
      <xdr:colOff>714375</xdr:colOff>
      <xdr:row>30</xdr:row>
      <xdr:rowOff>38100</xdr:rowOff>
    </xdr:to>
    <xdr:sp macro="" textlink="">
      <xdr:nvSpPr>
        <xdr:cNvPr id="2" name="ZoneTexte 1"/>
        <xdr:cNvSpPr txBox="1"/>
      </xdr:nvSpPr>
      <xdr:spPr>
        <a:xfrm>
          <a:off x="5581649" y="4933950"/>
          <a:ext cx="1990726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1</xdr:col>
      <xdr:colOff>571500</xdr:colOff>
      <xdr:row>3</xdr:row>
      <xdr:rowOff>47625</xdr:rowOff>
    </xdr:from>
    <xdr:ext cx="617541" cy="311496"/>
    <xdr:sp macro="" textlink="">
      <xdr:nvSpPr>
        <xdr:cNvPr id="44" name="ZoneTexte 43"/>
        <xdr:cNvSpPr txBox="1"/>
      </xdr:nvSpPr>
      <xdr:spPr>
        <a:xfrm>
          <a:off x="1333500" y="619125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2</xdr:col>
      <xdr:colOff>628650</xdr:colOff>
      <xdr:row>3</xdr:row>
      <xdr:rowOff>38100</xdr:rowOff>
    </xdr:from>
    <xdr:ext cx="609911" cy="311496"/>
    <xdr:sp macro="" textlink="">
      <xdr:nvSpPr>
        <xdr:cNvPr id="45" name="ZoneTexte 44"/>
        <xdr:cNvSpPr txBox="1"/>
      </xdr:nvSpPr>
      <xdr:spPr>
        <a:xfrm>
          <a:off x="215265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6</xdr:col>
      <xdr:colOff>200026</xdr:colOff>
      <xdr:row>3</xdr:row>
      <xdr:rowOff>57150</xdr:rowOff>
    </xdr:from>
    <xdr:ext cx="617541" cy="311496"/>
    <xdr:sp macro="" textlink="">
      <xdr:nvSpPr>
        <xdr:cNvPr id="48" name="ZoneTexte 47"/>
        <xdr:cNvSpPr txBox="1"/>
      </xdr:nvSpPr>
      <xdr:spPr>
        <a:xfrm>
          <a:off x="4772026" y="62865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7</xdr:col>
      <xdr:colOff>238126</xdr:colOff>
      <xdr:row>3</xdr:row>
      <xdr:rowOff>57150</xdr:rowOff>
    </xdr:from>
    <xdr:ext cx="609911" cy="311496"/>
    <xdr:sp macro="" textlink="">
      <xdr:nvSpPr>
        <xdr:cNvPr id="49" name="ZoneTexte 48"/>
        <xdr:cNvSpPr txBox="1"/>
      </xdr:nvSpPr>
      <xdr:spPr>
        <a:xfrm>
          <a:off x="5572126" y="62865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2</xdr:col>
      <xdr:colOff>676276</xdr:colOff>
      <xdr:row>1</xdr:row>
      <xdr:rowOff>142875</xdr:rowOff>
    </xdr:from>
    <xdr:ext cx="3286124" cy="468013"/>
    <xdr:sp macro="" textlink="">
      <xdr:nvSpPr>
        <xdr:cNvPr id="50" name="ZoneTexte 49"/>
        <xdr:cNvSpPr txBox="1"/>
      </xdr:nvSpPr>
      <xdr:spPr>
        <a:xfrm>
          <a:off x="2200276" y="333375"/>
          <a:ext cx="328612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DEVELOPPEMENT</a:t>
          </a:r>
        </a:p>
      </xdr:txBody>
    </xdr:sp>
    <xdr:clientData/>
  </xdr:oneCellAnchor>
  <xdr:twoCellAnchor>
    <xdr:from>
      <xdr:col>3</xdr:col>
      <xdr:colOff>85725</xdr:colOff>
      <xdr:row>9</xdr:row>
      <xdr:rowOff>85725</xdr:rowOff>
    </xdr:from>
    <xdr:to>
      <xdr:col>4</xdr:col>
      <xdr:colOff>95250</xdr:colOff>
      <xdr:row>11</xdr:row>
      <xdr:rowOff>180975</xdr:rowOff>
    </xdr:to>
    <xdr:sp macro="" textlink="">
      <xdr:nvSpPr>
        <xdr:cNvPr id="51" name="Arrondir un rectangle avec un coin diagonal 50"/>
        <xdr:cNvSpPr/>
      </xdr:nvSpPr>
      <xdr:spPr>
        <a:xfrm>
          <a:off x="2371725" y="18002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685800</xdr:colOff>
      <xdr:row>19</xdr:row>
      <xdr:rowOff>47625</xdr:rowOff>
    </xdr:from>
    <xdr:to>
      <xdr:col>3</xdr:col>
      <xdr:colOff>695325</xdr:colOff>
      <xdr:row>21</xdr:row>
      <xdr:rowOff>142875</xdr:rowOff>
    </xdr:to>
    <xdr:sp macro="" textlink="">
      <xdr:nvSpPr>
        <xdr:cNvPr id="52" name="Arrondir un rectangle avec un coin diagonal 51"/>
        <xdr:cNvSpPr/>
      </xdr:nvSpPr>
      <xdr:spPr>
        <a:xfrm>
          <a:off x="2209800" y="36671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647701</xdr:colOff>
      <xdr:row>25</xdr:row>
      <xdr:rowOff>152400</xdr:rowOff>
    </xdr:from>
    <xdr:to>
      <xdr:col>7</xdr:col>
      <xdr:colOff>85725</xdr:colOff>
      <xdr:row>30</xdr:row>
      <xdr:rowOff>19050</xdr:rowOff>
    </xdr:to>
    <xdr:sp macro="" textlink="">
      <xdr:nvSpPr>
        <xdr:cNvPr id="53" name="ZoneTexte 52"/>
        <xdr:cNvSpPr txBox="1"/>
      </xdr:nvSpPr>
      <xdr:spPr>
        <a:xfrm>
          <a:off x="2171701" y="4914900"/>
          <a:ext cx="3248024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twoCellAnchor>
    <xdr:from>
      <xdr:col>0</xdr:col>
      <xdr:colOff>142875</xdr:colOff>
      <xdr:row>25</xdr:row>
      <xdr:rowOff>133350</xdr:rowOff>
    </xdr:from>
    <xdr:to>
      <xdr:col>2</xdr:col>
      <xdr:colOff>504824</xdr:colOff>
      <xdr:row>30</xdr:row>
      <xdr:rowOff>0</xdr:rowOff>
    </xdr:to>
    <xdr:sp macro="" textlink="">
      <xdr:nvSpPr>
        <xdr:cNvPr id="54" name="ZoneTexte 53"/>
        <xdr:cNvSpPr txBox="1"/>
      </xdr:nvSpPr>
      <xdr:spPr>
        <a:xfrm>
          <a:off x="142875" y="4895850"/>
          <a:ext cx="1885949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7</xdr:col>
      <xdr:colOff>228602</xdr:colOff>
      <xdr:row>1</xdr:row>
      <xdr:rowOff>133350</xdr:rowOff>
    </xdr:from>
    <xdr:ext cx="2009774" cy="468013"/>
    <xdr:sp macro="" textlink="">
      <xdr:nvSpPr>
        <xdr:cNvPr id="55" name="ZoneTexte 54"/>
        <xdr:cNvSpPr txBox="1"/>
      </xdr:nvSpPr>
      <xdr:spPr>
        <a:xfrm>
          <a:off x="5562602" y="323850"/>
          <a:ext cx="20097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VALIDATION</a:t>
          </a:r>
        </a:p>
      </xdr:txBody>
    </xdr:sp>
    <xdr:clientData/>
  </xdr:oneCellAnchor>
  <xdr:twoCellAnchor editAs="oneCell">
    <xdr:from>
      <xdr:col>10</xdr:col>
      <xdr:colOff>0</xdr:colOff>
      <xdr:row>37</xdr:row>
      <xdr:rowOff>0</xdr:rowOff>
    </xdr:from>
    <xdr:to>
      <xdr:col>16</xdr:col>
      <xdr:colOff>426720</xdr:colOff>
      <xdr:row>49</xdr:row>
      <xdr:rowOff>83820</xdr:rowOff>
    </xdr:to>
    <xdr:sp macro="" textlink="">
      <xdr:nvSpPr>
        <xdr:cNvPr id="5121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0" y="676656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7</xdr:col>
      <xdr:colOff>426720</xdr:colOff>
      <xdr:row>45</xdr:row>
      <xdr:rowOff>83820</xdr:rowOff>
    </xdr:to>
    <xdr:sp macro="" textlink="">
      <xdr:nvSpPr>
        <xdr:cNvPr id="5122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" y="603504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38100</xdr:colOff>
      <xdr:row>33</xdr:row>
      <xdr:rowOff>11753</xdr:rowOff>
    </xdr:from>
    <xdr:to>
      <xdr:col>12</xdr:col>
      <xdr:colOff>388620</xdr:colOff>
      <xdr:row>40</xdr:row>
      <xdr:rowOff>87319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6298253"/>
          <a:ext cx="9494520" cy="14090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3:J288" totalsRowCount="1" headerRowDxfId="56" dataDxfId="54" headerRowBorderDxfId="55" tableBorderDxfId="53">
  <autoFilter ref="A3:J287"/>
  <sortState ref="A4:J282">
    <sortCondition descending="1" ref="E3:E282"/>
  </sortState>
  <tableColumns count="10">
    <tableColumn id="1" name="Sprint" totalsRowLabel="Total" dataDxfId="52" totalsRowDxfId="9"/>
    <tableColumn id="2" name="Catégorie" dataDxfId="51" totalsRowDxfId="8"/>
    <tableColumn id="3" name="Sous catégorie" dataDxfId="50" totalsRowDxfId="7"/>
    <tableColumn id="4" name="Nom / Description" dataDxfId="49" totalsRowDxfId="6"/>
    <tableColumn id="5" name="Importance" dataDxfId="48" totalsRowDxfId="5"/>
    <tableColumn id="6" name="Estimation" totalsRowFunction="sum" dataDxfId="47" totalsRowDxfId="4"/>
    <tableColumn id="7" name="Critères de Vérification" dataDxfId="46" totalsRowDxfId="3"/>
    <tableColumn id="8" name="Status" dataDxfId="45" totalsRowDxfId="2"/>
    <tableColumn id="9" name="Notes" dataDxfId="44" totalsRowDxfId="1"/>
    <tableColumn id="10" name="Bug" totalsRowFunction="count" dataDxfId="43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C26"/>
  <sheetViews>
    <sheetView workbookViewId="0">
      <selection activeCell="C19" sqref="C19"/>
    </sheetView>
  </sheetViews>
  <sheetFormatPr baseColWidth="10" defaultRowHeight="15" x14ac:dyDescent="0.25"/>
  <cols>
    <col min="2" max="2" width="28.5703125" style="6" customWidth="1"/>
    <col min="3" max="3" width="78" customWidth="1"/>
  </cols>
  <sheetData>
    <row r="3" spans="2:3" ht="15.75" thickBot="1" x14ac:dyDescent="0.3"/>
    <row r="4" spans="2:3" ht="22.5" x14ac:dyDescent="0.3">
      <c r="B4" s="10" t="s">
        <v>13</v>
      </c>
      <c r="C4" s="7"/>
    </row>
    <row r="5" spans="2:3" ht="22.5" x14ac:dyDescent="0.3">
      <c r="B5" s="11" t="s">
        <v>17</v>
      </c>
      <c r="C5" s="8"/>
    </row>
    <row r="6" spans="2:3" ht="22.5" x14ac:dyDescent="0.3">
      <c r="B6" s="11" t="s">
        <v>16</v>
      </c>
      <c r="C6" s="8" t="s">
        <v>27</v>
      </c>
    </row>
    <row r="7" spans="2:3" ht="22.5" x14ac:dyDescent="0.3">
      <c r="B7" s="11" t="s">
        <v>14</v>
      </c>
      <c r="C7" s="9"/>
    </row>
    <row r="8" spans="2:3" ht="23.25" thickBot="1" x14ac:dyDescent="0.35">
      <c r="B8" s="12" t="s">
        <v>15</v>
      </c>
      <c r="C8" s="13"/>
    </row>
    <row r="11" spans="2:3" ht="21" x14ac:dyDescent="0.35">
      <c r="B11" s="30" t="s">
        <v>28</v>
      </c>
      <c r="C11" s="31"/>
    </row>
    <row r="12" spans="2:3" ht="18.75" x14ac:dyDescent="0.25">
      <c r="B12" s="21" t="s">
        <v>40</v>
      </c>
      <c r="C12" s="21" t="s">
        <v>18</v>
      </c>
    </row>
    <row r="13" spans="2:3" ht="18.75" x14ac:dyDescent="0.3">
      <c r="B13" s="32"/>
      <c r="C13" s="20"/>
    </row>
    <row r="14" spans="2:3" ht="18.75" x14ac:dyDescent="0.3">
      <c r="B14" s="32"/>
      <c r="C14" s="20"/>
    </row>
    <row r="15" spans="2:3" ht="18.75" x14ac:dyDescent="0.3">
      <c r="B15" s="32"/>
      <c r="C15" s="20"/>
    </row>
    <row r="16" spans="2:3" ht="18.75" x14ac:dyDescent="0.3">
      <c r="B16" s="32"/>
      <c r="C16" s="20"/>
    </row>
    <row r="17" spans="2:3" ht="18.75" x14ac:dyDescent="0.3">
      <c r="B17" s="32"/>
      <c r="C17" s="20"/>
    </row>
    <row r="18" spans="2:3" ht="18.75" x14ac:dyDescent="0.3">
      <c r="B18" s="22"/>
      <c r="C18" s="20"/>
    </row>
    <row r="19" spans="2:3" ht="18.75" x14ac:dyDescent="0.3">
      <c r="B19" s="22"/>
      <c r="C19" s="20"/>
    </row>
    <row r="20" spans="2:3" ht="18.75" x14ac:dyDescent="0.3">
      <c r="B20" s="22"/>
      <c r="C20" s="20"/>
    </row>
    <row r="21" spans="2:3" ht="18.75" x14ac:dyDescent="0.3">
      <c r="B21" s="22"/>
      <c r="C21" s="20"/>
    </row>
    <row r="22" spans="2:3" ht="18.75" x14ac:dyDescent="0.3">
      <c r="B22" s="22"/>
      <c r="C22" s="20"/>
    </row>
    <row r="23" spans="2:3" ht="18.75" x14ac:dyDescent="0.3">
      <c r="B23" s="22"/>
      <c r="C23" s="20"/>
    </row>
    <row r="24" spans="2:3" ht="18.75" x14ac:dyDescent="0.3">
      <c r="B24" s="22"/>
      <c r="C24" s="20"/>
    </row>
    <row r="25" spans="2:3" ht="18.75" x14ac:dyDescent="0.3">
      <c r="B25" s="22"/>
      <c r="C25" s="20"/>
    </row>
    <row r="26" spans="2:3" ht="18.75" x14ac:dyDescent="0.3">
      <c r="B26" s="22"/>
      <c r="C26" s="20"/>
    </row>
  </sheetData>
  <dataValidations count="2">
    <dataValidation type="list" allowBlank="1" showInputMessage="1" showErrorMessage="1" sqref="B13:B26">
      <formula1>ressources</formula1>
    </dataValidation>
    <dataValidation type="list" allowBlank="1" showInputMessage="1" showErrorMessage="1" sqref="F9">
      <formula1>toto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J525"/>
  <sheetViews>
    <sheetView showGridLines="0" tabSelected="1" zoomScaleNormal="100" workbookViewId="0">
      <selection activeCell="G17" sqref="G17"/>
    </sheetView>
  </sheetViews>
  <sheetFormatPr baseColWidth="10" defaultColWidth="11.5703125" defaultRowHeight="15" x14ac:dyDescent="0.25"/>
  <cols>
    <col min="1" max="1" width="9.85546875" style="77" customWidth="1"/>
    <col min="2" max="2" width="18.28515625" style="68" customWidth="1"/>
    <col min="3" max="3" width="20" style="75" customWidth="1"/>
    <col min="4" max="4" width="26.5703125" style="78" customWidth="1"/>
    <col min="5" max="5" width="11.85546875" style="79" customWidth="1"/>
    <col min="6" max="6" width="12.42578125" style="79" customWidth="1"/>
    <col min="7" max="7" width="35.7109375" style="47" customWidth="1"/>
    <col min="8" max="8" width="11.85546875" style="72" customWidth="1"/>
    <col min="9" max="9" width="34.28515625" style="47" customWidth="1"/>
    <col min="10" max="10" width="12.7109375" style="47" customWidth="1"/>
    <col min="11" max="16384" width="11.5703125" style="47"/>
  </cols>
  <sheetData>
    <row r="1" spans="1:10" s="59" customFormat="1" ht="12" x14ac:dyDescent="0.2">
      <c r="A1" s="54"/>
      <c r="B1" s="55"/>
      <c r="C1" s="56"/>
      <c r="D1" s="57"/>
      <c r="E1" s="58"/>
      <c r="F1" s="58"/>
      <c r="H1" s="60"/>
    </row>
    <row r="2" spans="1:10" ht="46.5" x14ac:dyDescent="0.25">
      <c r="A2" s="61" t="s">
        <v>12</v>
      </c>
      <c r="B2" s="62">
        <v>1</v>
      </c>
      <c r="C2" s="80" t="s">
        <v>52</v>
      </c>
      <c r="D2" s="80"/>
      <c r="E2" s="80"/>
      <c r="F2" s="80"/>
      <c r="G2" s="80"/>
      <c r="H2" s="63"/>
      <c r="I2" s="63"/>
      <c r="J2" s="63"/>
    </row>
    <row r="3" spans="1:10" x14ac:dyDescent="0.25">
      <c r="A3" s="64" t="s">
        <v>10</v>
      </c>
      <c r="B3" s="65" t="s">
        <v>0</v>
      </c>
      <c r="C3" s="66" t="s">
        <v>20</v>
      </c>
      <c r="D3" s="64" t="s">
        <v>47</v>
      </c>
      <c r="E3" s="64" t="s">
        <v>11</v>
      </c>
      <c r="F3" s="64" t="s">
        <v>1</v>
      </c>
      <c r="G3" s="64" t="s">
        <v>48</v>
      </c>
      <c r="H3" s="65" t="s">
        <v>4</v>
      </c>
      <c r="I3" s="64" t="s">
        <v>2</v>
      </c>
      <c r="J3" s="64" t="s">
        <v>3</v>
      </c>
    </row>
    <row r="4" spans="1:10" ht="45" x14ac:dyDescent="0.25">
      <c r="A4" s="81">
        <v>1</v>
      </c>
      <c r="B4" s="82"/>
      <c r="C4" s="53" t="s">
        <v>74</v>
      </c>
      <c r="D4" s="42" t="s">
        <v>75</v>
      </c>
      <c r="E4" s="82">
        <v>95</v>
      </c>
      <c r="F4" s="82">
        <v>2</v>
      </c>
      <c r="G4" s="83" t="s">
        <v>88</v>
      </c>
      <c r="H4" s="82" t="s">
        <v>49</v>
      </c>
      <c r="I4" s="83" t="s">
        <v>97</v>
      </c>
      <c r="J4" s="82"/>
    </row>
    <row r="5" spans="1:10" s="73" customFormat="1" ht="33" customHeight="1" x14ac:dyDescent="0.25">
      <c r="A5" s="26">
        <v>1</v>
      </c>
      <c r="B5" s="29"/>
      <c r="C5" s="27" t="s">
        <v>74</v>
      </c>
      <c r="D5" s="5" t="s">
        <v>54</v>
      </c>
      <c r="E5" s="23">
        <v>80</v>
      </c>
      <c r="F5" s="25">
        <v>2</v>
      </c>
      <c r="G5" s="17" t="s">
        <v>88</v>
      </c>
      <c r="H5" s="16" t="s">
        <v>24</v>
      </c>
      <c r="I5" s="17" t="s">
        <v>96</v>
      </c>
      <c r="J5" s="24"/>
    </row>
    <row r="6" spans="1:10" s="73" customFormat="1" ht="29.25" customHeight="1" x14ac:dyDescent="0.25">
      <c r="A6" s="26">
        <v>1</v>
      </c>
      <c r="B6" s="29"/>
      <c r="C6" s="27" t="s">
        <v>74</v>
      </c>
      <c r="D6" s="5" t="s">
        <v>55</v>
      </c>
      <c r="E6" s="23">
        <v>80</v>
      </c>
      <c r="F6" s="23">
        <v>2</v>
      </c>
      <c r="G6" s="17" t="s">
        <v>89</v>
      </c>
      <c r="H6" s="16" t="s">
        <v>24</v>
      </c>
      <c r="I6" s="17" t="s">
        <v>98</v>
      </c>
      <c r="J6" s="24"/>
    </row>
    <row r="7" spans="1:10" s="73" customFormat="1" ht="37.5" customHeight="1" x14ac:dyDescent="0.25">
      <c r="A7" s="26">
        <v>1</v>
      </c>
      <c r="B7" s="29"/>
      <c r="C7" s="27" t="s">
        <v>74</v>
      </c>
      <c r="D7" s="3" t="s">
        <v>56</v>
      </c>
      <c r="E7" s="23">
        <v>75</v>
      </c>
      <c r="F7" s="23">
        <v>1.5</v>
      </c>
      <c r="G7" s="17" t="s">
        <v>90</v>
      </c>
      <c r="H7" s="16" t="s">
        <v>82</v>
      </c>
      <c r="I7" s="17" t="s">
        <v>100</v>
      </c>
      <c r="J7" s="24"/>
    </row>
    <row r="8" spans="1:10" s="73" customFormat="1" ht="27" customHeight="1" x14ac:dyDescent="0.25">
      <c r="A8" s="48">
        <v>1</v>
      </c>
      <c r="B8" s="29"/>
      <c r="C8" s="27" t="s">
        <v>74</v>
      </c>
      <c r="D8" s="5" t="s">
        <v>57</v>
      </c>
      <c r="E8" s="23">
        <v>75</v>
      </c>
      <c r="F8" s="25">
        <v>1.5</v>
      </c>
      <c r="G8" s="17" t="s">
        <v>90</v>
      </c>
      <c r="H8" s="16" t="s">
        <v>24</v>
      </c>
      <c r="I8" s="17" t="s">
        <v>99</v>
      </c>
      <c r="J8" s="24"/>
    </row>
    <row r="9" spans="1:10" s="73" customFormat="1" ht="27" customHeight="1" x14ac:dyDescent="0.25">
      <c r="A9" s="48">
        <v>1</v>
      </c>
      <c r="B9" s="29"/>
      <c r="C9" s="27" t="s">
        <v>74</v>
      </c>
      <c r="D9" s="5" t="s">
        <v>59</v>
      </c>
      <c r="E9" s="23">
        <v>70</v>
      </c>
      <c r="F9" s="25">
        <v>1.5</v>
      </c>
      <c r="G9" s="17" t="s">
        <v>91</v>
      </c>
      <c r="H9" s="16" t="s">
        <v>82</v>
      </c>
      <c r="I9" s="17" t="s">
        <v>101</v>
      </c>
      <c r="J9" s="24"/>
    </row>
    <row r="10" spans="1:10" s="73" customFormat="1" ht="31.5" customHeight="1" x14ac:dyDescent="0.25">
      <c r="A10" s="51">
        <v>1</v>
      </c>
      <c r="B10" s="29"/>
      <c r="C10" s="53" t="s">
        <v>74</v>
      </c>
      <c r="D10" s="42" t="s">
        <v>93</v>
      </c>
      <c r="E10" s="23">
        <v>65</v>
      </c>
      <c r="F10" s="25">
        <v>1.5</v>
      </c>
      <c r="G10" s="17"/>
      <c r="H10" s="16" t="s">
        <v>82</v>
      </c>
      <c r="I10" s="17"/>
      <c r="J10" s="24"/>
    </row>
    <row r="11" spans="1:10" s="73" customFormat="1" ht="30.75" customHeight="1" x14ac:dyDescent="0.25">
      <c r="A11" s="48">
        <v>1</v>
      </c>
      <c r="B11" s="29"/>
      <c r="C11" s="27" t="s">
        <v>62</v>
      </c>
      <c r="D11" s="5" t="s">
        <v>103</v>
      </c>
      <c r="E11" s="23">
        <v>65</v>
      </c>
      <c r="F11" s="23">
        <v>0.5</v>
      </c>
      <c r="G11" s="17"/>
      <c r="H11" s="16" t="s">
        <v>49</v>
      </c>
      <c r="I11" s="17" t="s">
        <v>79</v>
      </c>
      <c r="J11" s="24"/>
    </row>
    <row r="12" spans="1:10" s="73" customFormat="1" ht="30.75" customHeight="1" x14ac:dyDescent="0.25">
      <c r="A12" s="51">
        <v>1</v>
      </c>
      <c r="B12" s="29"/>
      <c r="C12" s="27" t="s">
        <v>62</v>
      </c>
      <c r="D12" s="5" t="s">
        <v>60</v>
      </c>
      <c r="E12" s="23">
        <v>60</v>
      </c>
      <c r="F12" s="23">
        <v>0.5</v>
      </c>
      <c r="G12" s="17"/>
      <c r="H12" s="16" t="s">
        <v>82</v>
      </c>
      <c r="I12" s="17" t="s">
        <v>104</v>
      </c>
      <c r="J12" s="24"/>
    </row>
    <row r="13" spans="1:10" s="73" customFormat="1" ht="30.75" customHeight="1" x14ac:dyDescent="0.25">
      <c r="A13" s="48">
        <v>1</v>
      </c>
      <c r="B13" s="29"/>
      <c r="C13" s="27" t="s">
        <v>62</v>
      </c>
      <c r="D13" s="5" t="s">
        <v>58</v>
      </c>
      <c r="E13" s="23">
        <v>60</v>
      </c>
      <c r="F13" s="23">
        <v>0.5</v>
      </c>
      <c r="G13" s="17"/>
      <c r="H13" s="16" t="s">
        <v>82</v>
      </c>
      <c r="I13" s="17" t="s">
        <v>81</v>
      </c>
      <c r="J13" s="24"/>
    </row>
    <row r="14" spans="1:10" s="73" customFormat="1" ht="31.5" customHeight="1" x14ac:dyDescent="0.25">
      <c r="A14" s="48">
        <v>1</v>
      </c>
      <c r="B14" s="29"/>
      <c r="C14" s="27" t="s">
        <v>63</v>
      </c>
      <c r="D14" s="5" t="s">
        <v>61</v>
      </c>
      <c r="E14" s="23">
        <v>55</v>
      </c>
      <c r="F14" s="25">
        <v>1.5</v>
      </c>
      <c r="G14" s="17" t="s">
        <v>94</v>
      </c>
      <c r="H14" s="16" t="s">
        <v>82</v>
      </c>
      <c r="I14" s="17" t="s">
        <v>80</v>
      </c>
      <c r="J14" s="24"/>
    </row>
    <row r="15" spans="1:10" s="73" customFormat="1" ht="51.75" customHeight="1" x14ac:dyDescent="0.25">
      <c r="A15" s="51">
        <v>1</v>
      </c>
      <c r="B15" s="29"/>
      <c r="C15" s="53" t="s">
        <v>37</v>
      </c>
      <c r="D15" s="42" t="s">
        <v>77</v>
      </c>
      <c r="E15" s="23">
        <v>50</v>
      </c>
      <c r="F15" s="25">
        <v>0.5</v>
      </c>
      <c r="G15" s="17"/>
      <c r="H15" s="16" t="s">
        <v>82</v>
      </c>
      <c r="I15" s="17" t="s">
        <v>95</v>
      </c>
      <c r="J15" s="24"/>
    </row>
    <row r="16" spans="1:10" s="73" customFormat="1" ht="75.75" customHeight="1" x14ac:dyDescent="0.25">
      <c r="A16" s="51">
        <v>1</v>
      </c>
      <c r="B16" s="29"/>
      <c r="C16" s="53" t="s">
        <v>74</v>
      </c>
      <c r="D16" s="42" t="s">
        <v>76</v>
      </c>
      <c r="E16" s="23">
        <v>40</v>
      </c>
      <c r="F16" s="25">
        <v>1.5</v>
      </c>
      <c r="G16" s="17"/>
      <c r="H16" s="16" t="s">
        <v>82</v>
      </c>
      <c r="I16" s="17" t="s">
        <v>92</v>
      </c>
      <c r="J16" s="24"/>
    </row>
    <row r="17" spans="1:10" s="73" customFormat="1" ht="75.75" customHeight="1" x14ac:dyDescent="0.25">
      <c r="A17" s="51"/>
      <c r="B17" s="29"/>
      <c r="C17" s="53" t="s">
        <v>37</v>
      </c>
      <c r="D17" s="42" t="s">
        <v>114</v>
      </c>
      <c r="E17" s="23">
        <v>40</v>
      </c>
      <c r="F17" s="25">
        <v>1</v>
      </c>
      <c r="G17" s="17" t="s">
        <v>116</v>
      </c>
      <c r="H17" s="16" t="s">
        <v>82</v>
      </c>
      <c r="I17" s="17" t="s">
        <v>115</v>
      </c>
      <c r="J17" s="24"/>
    </row>
    <row r="18" spans="1:10" s="73" customFormat="1" ht="30" customHeight="1" x14ac:dyDescent="0.25">
      <c r="A18" s="48"/>
      <c r="B18" s="29" t="s">
        <v>43</v>
      </c>
      <c r="C18" s="27" t="s">
        <v>36</v>
      </c>
      <c r="D18" s="5" t="s">
        <v>64</v>
      </c>
      <c r="E18" s="23">
        <v>40</v>
      </c>
      <c r="F18" s="23">
        <v>8</v>
      </c>
      <c r="G18" s="17"/>
      <c r="H18" s="16" t="s">
        <v>82</v>
      </c>
      <c r="I18" s="17" t="s">
        <v>83</v>
      </c>
      <c r="J18" s="24"/>
    </row>
    <row r="19" spans="1:10" s="73" customFormat="1" ht="29.25" customHeight="1" x14ac:dyDescent="0.25">
      <c r="A19" s="48"/>
      <c r="B19" s="29" t="s">
        <v>43</v>
      </c>
      <c r="C19" s="27" t="s">
        <v>36</v>
      </c>
      <c r="D19" s="5" t="s">
        <v>66</v>
      </c>
      <c r="E19" s="23">
        <v>40</v>
      </c>
      <c r="F19" s="23">
        <v>8</v>
      </c>
      <c r="G19" s="17"/>
      <c r="H19" s="16" t="s">
        <v>82</v>
      </c>
      <c r="I19" s="17" t="s">
        <v>84</v>
      </c>
      <c r="J19" s="24"/>
    </row>
    <row r="20" spans="1:10" s="73" customFormat="1" ht="29.25" customHeight="1" x14ac:dyDescent="0.25">
      <c r="A20" s="48"/>
      <c r="B20" s="29" t="s">
        <v>43</v>
      </c>
      <c r="C20" s="27" t="s">
        <v>36</v>
      </c>
      <c r="D20" s="5" t="s">
        <v>107</v>
      </c>
      <c r="E20" s="23">
        <v>40</v>
      </c>
      <c r="F20" s="23">
        <v>2</v>
      </c>
      <c r="G20" s="17"/>
      <c r="H20" s="16" t="s">
        <v>82</v>
      </c>
      <c r="I20" s="17" t="s">
        <v>106</v>
      </c>
      <c r="J20" s="24"/>
    </row>
    <row r="21" spans="1:10" s="73" customFormat="1" ht="29.25" customHeight="1" x14ac:dyDescent="0.25">
      <c r="A21" s="51"/>
      <c r="B21" s="29" t="s">
        <v>43</v>
      </c>
      <c r="C21" s="27" t="s">
        <v>36</v>
      </c>
      <c r="D21" s="5" t="s">
        <v>105</v>
      </c>
      <c r="E21" s="23">
        <v>40</v>
      </c>
      <c r="F21" s="23">
        <v>2</v>
      </c>
      <c r="G21" s="17"/>
      <c r="H21" s="16" t="s">
        <v>82</v>
      </c>
      <c r="I21" s="17" t="s">
        <v>106</v>
      </c>
      <c r="J21" s="24"/>
    </row>
    <row r="22" spans="1:10" s="73" customFormat="1" ht="24.75" customHeight="1" x14ac:dyDescent="0.25">
      <c r="A22" s="26"/>
      <c r="B22" s="29"/>
      <c r="C22" s="27" t="s">
        <v>36</v>
      </c>
      <c r="D22" s="5" t="s">
        <v>87</v>
      </c>
      <c r="E22" s="23">
        <v>40</v>
      </c>
      <c r="F22" s="25">
        <v>0.5</v>
      </c>
      <c r="G22" s="17"/>
      <c r="H22" s="16" t="s">
        <v>82</v>
      </c>
      <c r="I22" s="17"/>
      <c r="J22" s="24"/>
    </row>
    <row r="23" spans="1:10" s="73" customFormat="1" ht="31.5" customHeight="1" x14ac:dyDescent="0.25">
      <c r="A23" s="26"/>
      <c r="B23" s="29"/>
      <c r="C23" s="27" t="s">
        <v>36</v>
      </c>
      <c r="D23" s="5" t="s">
        <v>73</v>
      </c>
      <c r="E23" s="23">
        <v>40</v>
      </c>
      <c r="F23" s="25">
        <v>2</v>
      </c>
      <c r="G23" s="17"/>
      <c r="H23" s="16" t="s">
        <v>82</v>
      </c>
      <c r="I23" s="17"/>
      <c r="J23" s="24"/>
    </row>
    <row r="24" spans="1:10" s="73" customFormat="1" ht="37.5" customHeight="1" x14ac:dyDescent="0.25">
      <c r="A24" s="51"/>
      <c r="B24" s="29"/>
      <c r="C24" s="53" t="s">
        <v>74</v>
      </c>
      <c r="D24" s="42" t="s">
        <v>65</v>
      </c>
      <c r="E24" s="23">
        <v>30</v>
      </c>
      <c r="F24" s="23">
        <v>1</v>
      </c>
      <c r="G24" s="17"/>
      <c r="H24" s="16" t="s">
        <v>82</v>
      </c>
      <c r="I24" s="17" t="s">
        <v>112</v>
      </c>
      <c r="J24" s="24"/>
    </row>
    <row r="25" spans="1:10" s="73" customFormat="1" ht="36.75" customHeight="1" x14ac:dyDescent="0.25">
      <c r="A25" s="51"/>
      <c r="B25" s="29"/>
      <c r="C25" s="53" t="s">
        <v>74</v>
      </c>
      <c r="D25" s="42" t="s">
        <v>67</v>
      </c>
      <c r="E25" s="23">
        <v>30</v>
      </c>
      <c r="F25" s="23">
        <v>1</v>
      </c>
      <c r="G25" s="17"/>
      <c r="H25" s="16" t="s">
        <v>82</v>
      </c>
      <c r="I25" s="17" t="s">
        <v>113</v>
      </c>
      <c r="J25" s="24"/>
    </row>
    <row r="26" spans="1:10" s="73" customFormat="1" ht="14.45" customHeight="1" x14ac:dyDescent="0.25">
      <c r="A26" s="51"/>
      <c r="B26" s="29" t="s">
        <v>43</v>
      </c>
      <c r="C26" s="53" t="s">
        <v>36</v>
      </c>
      <c r="D26" s="42" t="s">
        <v>86</v>
      </c>
      <c r="E26" s="23">
        <v>30</v>
      </c>
      <c r="F26" s="23">
        <v>2</v>
      </c>
      <c r="G26" s="17"/>
      <c r="H26" s="16" t="s">
        <v>82</v>
      </c>
      <c r="I26" s="17"/>
      <c r="J26" s="24"/>
    </row>
    <row r="27" spans="1:10" s="73" customFormat="1" ht="38.25" customHeight="1" x14ac:dyDescent="0.25">
      <c r="A27" s="26"/>
      <c r="B27" s="29"/>
      <c r="C27" s="27" t="s">
        <v>74</v>
      </c>
      <c r="D27" s="5" t="s">
        <v>68</v>
      </c>
      <c r="E27" s="23">
        <v>20</v>
      </c>
      <c r="F27" s="23">
        <v>1</v>
      </c>
      <c r="G27" s="17" t="s">
        <v>85</v>
      </c>
      <c r="H27" s="16" t="s">
        <v>82</v>
      </c>
      <c r="I27" s="17"/>
      <c r="J27" s="24"/>
    </row>
    <row r="28" spans="1:10" s="73" customFormat="1" ht="27.75" customHeight="1" x14ac:dyDescent="0.25">
      <c r="A28" s="48"/>
      <c r="B28" s="29"/>
      <c r="C28" s="27" t="s">
        <v>78</v>
      </c>
      <c r="D28" s="5" t="s">
        <v>70</v>
      </c>
      <c r="E28" s="23">
        <v>20</v>
      </c>
      <c r="F28" s="23">
        <v>0.5</v>
      </c>
      <c r="G28" s="17"/>
      <c r="H28" s="16" t="s">
        <v>82</v>
      </c>
      <c r="I28" s="17" t="s">
        <v>108</v>
      </c>
      <c r="J28" s="24"/>
    </row>
    <row r="29" spans="1:10" s="73" customFormat="1" ht="29.25" customHeight="1" x14ac:dyDescent="0.25">
      <c r="A29" s="26"/>
      <c r="B29" s="29"/>
      <c r="C29" s="27" t="s">
        <v>74</v>
      </c>
      <c r="D29" s="5" t="s">
        <v>69</v>
      </c>
      <c r="E29" s="23">
        <v>20</v>
      </c>
      <c r="F29" s="25">
        <v>3</v>
      </c>
      <c r="G29" s="17" t="s">
        <v>85</v>
      </c>
      <c r="H29" s="16" t="s">
        <v>82</v>
      </c>
      <c r="I29" s="17"/>
      <c r="J29" s="24"/>
    </row>
    <row r="30" spans="1:10" s="73" customFormat="1" ht="29.25" customHeight="1" x14ac:dyDescent="0.25">
      <c r="A30" s="51"/>
      <c r="B30" s="29"/>
      <c r="C30" s="53" t="s">
        <v>74</v>
      </c>
      <c r="D30" s="42" t="s">
        <v>102</v>
      </c>
      <c r="E30" s="23">
        <v>20</v>
      </c>
      <c r="F30" s="23">
        <v>3</v>
      </c>
      <c r="G30" s="17" t="s">
        <v>111</v>
      </c>
      <c r="H30" s="16" t="s">
        <v>82</v>
      </c>
      <c r="I30" s="17"/>
      <c r="J30" s="24"/>
    </row>
    <row r="31" spans="1:10" s="73" customFormat="1" ht="29.25" customHeight="1" x14ac:dyDescent="0.25">
      <c r="A31" s="48"/>
      <c r="B31" s="29"/>
      <c r="C31" s="27" t="s">
        <v>63</v>
      </c>
      <c r="D31" s="5" t="s">
        <v>71</v>
      </c>
      <c r="E31" s="23">
        <v>20</v>
      </c>
      <c r="F31" s="25">
        <v>6</v>
      </c>
      <c r="G31" s="17" t="s">
        <v>111</v>
      </c>
      <c r="H31" s="16" t="s">
        <v>82</v>
      </c>
      <c r="I31" s="17" t="s">
        <v>110</v>
      </c>
      <c r="J31" s="24"/>
    </row>
    <row r="32" spans="1:10" s="73" customFormat="1" ht="30.75" customHeight="1" x14ac:dyDescent="0.25">
      <c r="A32" s="51"/>
      <c r="B32" s="29"/>
      <c r="C32" s="27" t="s">
        <v>78</v>
      </c>
      <c r="D32" s="5" t="s">
        <v>70</v>
      </c>
      <c r="E32" s="23">
        <v>20</v>
      </c>
      <c r="F32" s="23">
        <v>0.5</v>
      </c>
      <c r="G32" s="17" t="s">
        <v>94</v>
      </c>
      <c r="H32" s="16" t="s">
        <v>82</v>
      </c>
      <c r="I32" s="17" t="s">
        <v>109</v>
      </c>
      <c r="J32" s="24"/>
    </row>
    <row r="33" spans="1:10" s="73" customFormat="1" ht="29.25" customHeight="1" x14ac:dyDescent="0.25">
      <c r="A33" s="48"/>
      <c r="B33" s="29"/>
      <c r="C33" s="27" t="s">
        <v>63</v>
      </c>
      <c r="D33" s="5" t="s">
        <v>72</v>
      </c>
      <c r="E33" s="23">
        <v>10</v>
      </c>
      <c r="F33" s="25">
        <v>0.5</v>
      </c>
      <c r="G33" s="17"/>
      <c r="H33" s="16" t="s">
        <v>82</v>
      </c>
      <c r="I33" s="17"/>
      <c r="J33" s="24"/>
    </row>
    <row r="34" spans="1:10" s="73" customFormat="1" ht="14.45" customHeight="1" x14ac:dyDescent="0.25">
      <c r="A34" s="48"/>
      <c r="B34" s="29"/>
      <c r="C34" s="27"/>
      <c r="D34" s="5"/>
      <c r="E34" s="23"/>
      <c r="F34" s="23"/>
      <c r="G34" s="17"/>
      <c r="H34" s="16"/>
      <c r="I34" s="17"/>
      <c r="J34" s="24"/>
    </row>
    <row r="35" spans="1:10" s="73" customFormat="1" ht="14.45" customHeight="1" x14ac:dyDescent="0.25">
      <c r="A35" s="26"/>
      <c r="B35" s="29"/>
      <c r="C35" s="27"/>
      <c r="D35" s="5"/>
      <c r="E35" s="23"/>
      <c r="F35" s="23"/>
      <c r="G35" s="17"/>
      <c r="H35" s="16"/>
      <c r="I35" s="17"/>
      <c r="J35" s="24"/>
    </row>
    <row r="36" spans="1:10" s="73" customFormat="1" ht="14.45" customHeight="1" x14ac:dyDescent="0.25">
      <c r="A36" s="48"/>
      <c r="B36" s="29"/>
      <c r="C36" s="27"/>
      <c r="D36" s="5"/>
      <c r="E36" s="23"/>
      <c r="F36" s="25"/>
      <c r="G36" s="17"/>
      <c r="H36" s="16"/>
      <c r="I36" s="17"/>
      <c r="J36" s="24"/>
    </row>
    <row r="37" spans="1:10" s="73" customFormat="1" ht="14.45" customHeight="1" x14ac:dyDescent="0.25">
      <c r="A37" s="26"/>
      <c r="B37" s="29"/>
      <c r="C37" s="27"/>
      <c r="D37" s="4"/>
      <c r="E37" s="23"/>
      <c r="F37" s="23"/>
      <c r="G37" s="17"/>
      <c r="H37" s="16"/>
      <c r="I37" s="17"/>
      <c r="J37" s="24"/>
    </row>
    <row r="38" spans="1:10" s="73" customFormat="1" ht="14.45" customHeight="1" x14ac:dyDescent="0.25">
      <c r="A38" s="26"/>
      <c r="B38" s="29"/>
      <c r="C38" s="27"/>
      <c r="D38" s="4"/>
      <c r="E38" s="23"/>
      <c r="F38" s="23"/>
      <c r="G38" s="17"/>
      <c r="H38" s="16"/>
      <c r="I38" s="17"/>
      <c r="J38" s="24"/>
    </row>
    <row r="39" spans="1:10" s="73" customFormat="1" ht="14.45" customHeight="1" x14ac:dyDescent="0.25">
      <c r="A39" s="26"/>
      <c r="B39" s="29"/>
      <c r="C39" s="27"/>
      <c r="D39" s="5"/>
      <c r="E39" s="23"/>
      <c r="F39" s="25"/>
      <c r="G39" s="17"/>
      <c r="H39" s="16"/>
      <c r="I39" s="17"/>
      <c r="J39" s="24"/>
    </row>
    <row r="40" spans="1:10" s="73" customFormat="1" ht="14.45" customHeight="1" x14ac:dyDescent="0.25">
      <c r="A40" s="26"/>
      <c r="B40" s="29"/>
      <c r="C40" s="27"/>
      <c r="D40" s="5"/>
      <c r="E40" s="23"/>
      <c r="F40" s="23"/>
      <c r="G40" s="17"/>
      <c r="H40" s="16"/>
      <c r="I40" s="17"/>
      <c r="J40" s="24"/>
    </row>
    <row r="41" spans="1:10" s="73" customFormat="1" ht="14.45" customHeight="1" x14ac:dyDescent="0.25">
      <c r="A41" s="26"/>
      <c r="B41" s="29"/>
      <c r="C41" s="27"/>
      <c r="D41" s="5"/>
      <c r="E41" s="23"/>
      <c r="F41" s="25"/>
      <c r="G41" s="17"/>
      <c r="H41" s="16"/>
      <c r="I41" s="17"/>
      <c r="J41" s="24"/>
    </row>
    <row r="42" spans="1:10" s="73" customFormat="1" ht="14.45" customHeight="1" x14ac:dyDescent="0.25">
      <c r="A42" s="26"/>
      <c r="B42" s="29"/>
      <c r="C42" s="27"/>
      <c r="D42" s="5"/>
      <c r="E42" s="23"/>
      <c r="F42" s="25"/>
      <c r="G42" s="17"/>
      <c r="H42" s="16"/>
      <c r="I42" s="17"/>
      <c r="J42" s="24"/>
    </row>
    <row r="43" spans="1:10" s="73" customFormat="1" ht="14.45" customHeight="1" x14ac:dyDescent="0.25">
      <c r="A43" s="26"/>
      <c r="B43" s="29"/>
      <c r="C43" s="27"/>
      <c r="D43" s="5"/>
      <c r="E43" s="23"/>
      <c r="F43" s="25"/>
      <c r="G43" s="17"/>
      <c r="H43" s="16"/>
      <c r="I43" s="17"/>
      <c r="J43" s="24"/>
    </row>
    <row r="44" spans="1:10" s="73" customFormat="1" ht="14.45" customHeight="1" x14ac:dyDescent="0.25">
      <c r="A44" s="26"/>
      <c r="B44" s="29"/>
      <c r="C44" s="27"/>
      <c r="D44" s="5"/>
      <c r="E44" s="23"/>
      <c r="F44" s="25"/>
      <c r="G44" s="17"/>
      <c r="H44" s="16"/>
      <c r="I44" s="17"/>
      <c r="J44" s="24"/>
    </row>
    <row r="45" spans="1:10" s="73" customFormat="1" ht="14.45" customHeight="1" x14ac:dyDescent="0.25">
      <c r="A45" s="49"/>
      <c r="B45" s="29"/>
      <c r="C45" s="34"/>
      <c r="D45" s="5"/>
      <c r="E45" s="23"/>
      <c r="F45" s="25"/>
      <c r="G45" s="17"/>
      <c r="H45" s="16"/>
      <c r="I45" s="17"/>
      <c r="J45" s="24"/>
    </row>
    <row r="46" spans="1:10" s="73" customFormat="1" ht="14.45" customHeight="1" x14ac:dyDescent="0.25">
      <c r="A46" s="49"/>
      <c r="B46" s="29"/>
      <c r="C46" s="27"/>
      <c r="D46" s="5"/>
      <c r="E46" s="23"/>
      <c r="F46" s="25"/>
      <c r="G46" s="17"/>
      <c r="H46" s="16"/>
      <c r="I46" s="17"/>
      <c r="J46" s="24"/>
    </row>
    <row r="47" spans="1:10" s="73" customFormat="1" ht="14.45" customHeight="1" x14ac:dyDescent="0.25">
      <c r="A47" s="26"/>
      <c r="B47" s="29"/>
      <c r="C47" s="34"/>
      <c r="D47" s="5"/>
      <c r="E47" s="23"/>
      <c r="F47" s="25"/>
      <c r="G47" s="17"/>
      <c r="H47" s="16"/>
      <c r="I47" s="17"/>
      <c r="J47" s="24"/>
    </row>
    <row r="48" spans="1:10" s="73" customFormat="1" ht="14.45" customHeight="1" x14ac:dyDescent="0.25">
      <c r="A48" s="26"/>
      <c r="B48" s="29"/>
      <c r="C48" s="35"/>
      <c r="D48" s="36"/>
      <c r="E48" s="23"/>
      <c r="F48" s="25"/>
      <c r="G48" s="17"/>
      <c r="H48" s="16"/>
      <c r="I48" s="17"/>
      <c r="J48" s="24"/>
    </row>
    <row r="49" spans="1:10" s="73" customFormat="1" ht="14.45" customHeight="1" x14ac:dyDescent="0.25">
      <c r="A49" s="26"/>
      <c r="B49" s="29"/>
      <c r="C49" s="27"/>
      <c r="D49" s="15"/>
      <c r="E49" s="23"/>
      <c r="F49" s="25"/>
      <c r="G49" s="17"/>
      <c r="H49" s="16"/>
      <c r="I49" s="17"/>
      <c r="J49" s="24"/>
    </row>
    <row r="50" spans="1:10" s="73" customFormat="1" ht="14.45" customHeight="1" x14ac:dyDescent="0.25">
      <c r="A50" s="26"/>
      <c r="B50" s="29"/>
      <c r="C50" s="27"/>
      <c r="D50" s="37"/>
      <c r="E50" s="23"/>
      <c r="F50" s="25"/>
      <c r="G50" s="17"/>
      <c r="H50" s="16"/>
      <c r="I50" s="17"/>
      <c r="J50" s="24"/>
    </row>
    <row r="51" spans="1:10" s="73" customFormat="1" ht="14.45" customHeight="1" x14ac:dyDescent="0.25">
      <c r="A51" s="26"/>
      <c r="B51" s="29"/>
      <c r="C51" s="27"/>
      <c r="D51" s="5"/>
      <c r="E51" s="23"/>
      <c r="F51" s="25"/>
      <c r="G51" s="17"/>
      <c r="H51" s="16"/>
      <c r="I51" s="17"/>
      <c r="J51" s="24"/>
    </row>
    <row r="52" spans="1:10" s="73" customFormat="1" ht="14.45" customHeight="1" x14ac:dyDescent="0.25">
      <c r="A52" s="26"/>
      <c r="B52" s="29"/>
      <c r="C52" s="27"/>
      <c r="D52" s="5"/>
      <c r="E52" s="23"/>
      <c r="F52" s="25"/>
      <c r="G52" s="17"/>
      <c r="H52" s="16"/>
      <c r="I52" s="17"/>
      <c r="J52" s="24"/>
    </row>
    <row r="53" spans="1:10" s="73" customFormat="1" ht="14.45" customHeight="1" x14ac:dyDescent="0.25">
      <c r="A53" s="26"/>
      <c r="B53" s="29"/>
      <c r="C53" s="27"/>
      <c r="D53" s="5"/>
      <c r="E53" s="23"/>
      <c r="F53" s="25"/>
      <c r="G53" s="17"/>
      <c r="H53" s="16"/>
      <c r="I53" s="17"/>
      <c r="J53" s="24"/>
    </row>
    <row r="54" spans="1:10" s="73" customFormat="1" ht="14.45" customHeight="1" x14ac:dyDescent="0.25">
      <c r="A54" s="26"/>
      <c r="B54" s="29"/>
      <c r="C54" s="27"/>
      <c r="D54" s="5"/>
      <c r="E54" s="23"/>
      <c r="F54" s="25"/>
      <c r="G54" s="17"/>
      <c r="H54" s="16"/>
      <c r="I54" s="17"/>
      <c r="J54" s="24"/>
    </row>
    <row r="55" spans="1:10" s="73" customFormat="1" ht="14.45" customHeight="1" x14ac:dyDescent="0.25">
      <c r="A55" s="26"/>
      <c r="B55" s="29"/>
      <c r="C55" s="27"/>
      <c r="D55" s="5"/>
      <c r="E55" s="23"/>
      <c r="F55" s="25"/>
      <c r="G55" s="17"/>
      <c r="H55" s="16"/>
      <c r="I55" s="17"/>
      <c r="J55" s="24"/>
    </row>
    <row r="56" spans="1:10" s="73" customFormat="1" ht="14.45" customHeight="1" x14ac:dyDescent="0.25">
      <c r="A56" s="26"/>
      <c r="B56" s="29"/>
      <c r="C56" s="35"/>
      <c r="D56" s="5"/>
      <c r="E56" s="23"/>
      <c r="F56" s="25"/>
      <c r="G56" s="17"/>
      <c r="H56" s="16"/>
      <c r="I56" s="17"/>
      <c r="J56" s="24"/>
    </row>
    <row r="57" spans="1:10" s="73" customFormat="1" ht="14.45" customHeight="1" x14ac:dyDescent="0.25">
      <c r="A57" s="26"/>
      <c r="B57" s="29"/>
      <c r="C57" s="27"/>
      <c r="D57" s="5"/>
      <c r="E57" s="23"/>
      <c r="F57" s="25"/>
      <c r="G57" s="17"/>
      <c r="H57" s="16"/>
      <c r="I57" s="17"/>
      <c r="J57" s="24"/>
    </row>
    <row r="58" spans="1:10" s="73" customFormat="1" ht="14.45" customHeight="1" x14ac:dyDescent="0.25">
      <c r="A58" s="26"/>
      <c r="B58" s="29"/>
      <c r="C58" s="27"/>
      <c r="D58" s="5"/>
      <c r="E58" s="23"/>
      <c r="F58" s="25"/>
      <c r="G58" s="17"/>
      <c r="H58" s="16"/>
      <c r="I58" s="17"/>
      <c r="J58" s="24"/>
    </row>
    <row r="59" spans="1:10" s="73" customFormat="1" ht="14.45" customHeight="1" x14ac:dyDescent="0.25">
      <c r="A59" s="26"/>
      <c r="B59" s="29"/>
      <c r="C59" s="34"/>
      <c r="D59" s="5"/>
      <c r="E59" s="23"/>
      <c r="F59" s="25"/>
      <c r="G59" s="17"/>
      <c r="H59" s="16"/>
      <c r="I59" s="17"/>
      <c r="J59" s="24"/>
    </row>
    <row r="60" spans="1:10" s="73" customFormat="1" ht="14.45" customHeight="1" x14ac:dyDescent="0.25">
      <c r="A60" s="26"/>
      <c r="B60" s="29"/>
      <c r="C60" s="34"/>
      <c r="D60" s="50"/>
      <c r="E60" s="23"/>
      <c r="F60" s="25"/>
      <c r="G60" s="17"/>
      <c r="H60" s="16"/>
      <c r="I60" s="17"/>
      <c r="J60" s="24"/>
    </row>
    <row r="61" spans="1:10" s="73" customFormat="1" ht="14.45" customHeight="1" x14ac:dyDescent="0.25">
      <c r="A61" s="26"/>
      <c r="B61" s="29"/>
      <c r="C61" s="34"/>
      <c r="D61" s="5"/>
      <c r="E61" s="23"/>
      <c r="F61" s="25"/>
      <c r="G61" s="17"/>
      <c r="H61" s="16"/>
      <c r="I61" s="17"/>
      <c r="J61" s="24"/>
    </row>
    <row r="62" spans="1:10" s="73" customFormat="1" ht="14.45" customHeight="1" x14ac:dyDescent="0.25">
      <c r="A62" s="26"/>
      <c r="B62" s="29"/>
      <c r="C62" s="27"/>
      <c r="D62" s="5"/>
      <c r="E62" s="23"/>
      <c r="F62" s="25"/>
      <c r="G62" s="17"/>
      <c r="H62" s="16"/>
      <c r="I62" s="17"/>
      <c r="J62" s="24"/>
    </row>
    <row r="63" spans="1:10" s="73" customFormat="1" ht="14.45" customHeight="1" x14ac:dyDescent="0.25">
      <c r="A63" s="26"/>
      <c r="B63" s="29"/>
      <c r="C63" s="27"/>
      <c r="D63" s="5"/>
      <c r="E63" s="23"/>
      <c r="F63" s="25"/>
      <c r="G63" s="17"/>
      <c r="H63" s="16"/>
      <c r="I63" s="17"/>
      <c r="J63" s="24"/>
    </row>
    <row r="64" spans="1:10" s="73" customFormat="1" ht="14.45" customHeight="1" x14ac:dyDescent="0.25">
      <c r="A64" s="44"/>
      <c r="B64" s="29"/>
      <c r="C64" s="35"/>
      <c r="D64" s="36"/>
      <c r="E64" s="23"/>
      <c r="F64" s="25"/>
      <c r="G64" s="17"/>
      <c r="H64" s="16"/>
      <c r="I64" s="17"/>
      <c r="J64" s="24"/>
    </row>
    <row r="65" spans="1:10" s="73" customFormat="1" ht="14.45" customHeight="1" x14ac:dyDescent="0.25">
      <c r="A65" s="44"/>
      <c r="B65" s="29"/>
      <c r="C65" s="35"/>
      <c r="D65" s="36"/>
      <c r="E65" s="23"/>
      <c r="F65" s="25"/>
      <c r="G65" s="17"/>
      <c r="H65" s="16"/>
      <c r="I65" s="17"/>
      <c r="J65" s="24"/>
    </row>
    <row r="66" spans="1:10" s="73" customFormat="1" ht="14.45" customHeight="1" x14ac:dyDescent="0.25">
      <c r="A66" s="26"/>
      <c r="B66" s="29"/>
      <c r="C66" s="35"/>
      <c r="D66" s="36"/>
      <c r="E66" s="23"/>
      <c r="F66" s="25"/>
      <c r="G66" s="17"/>
      <c r="H66" s="16"/>
      <c r="I66" s="17"/>
      <c r="J66" s="24"/>
    </row>
    <row r="67" spans="1:10" s="73" customFormat="1" ht="14.45" customHeight="1" x14ac:dyDescent="0.25">
      <c r="A67" s="26"/>
      <c r="B67" s="29"/>
      <c r="C67" s="35"/>
      <c r="D67" s="5"/>
      <c r="E67" s="23"/>
      <c r="F67" s="25"/>
      <c r="G67" s="17"/>
      <c r="H67" s="16"/>
      <c r="I67" s="17"/>
      <c r="J67" s="24"/>
    </row>
    <row r="68" spans="1:10" s="73" customFormat="1" ht="14.45" customHeight="1" x14ac:dyDescent="0.25">
      <c r="A68" s="44"/>
      <c r="B68" s="29"/>
      <c r="C68" s="27"/>
      <c r="D68" s="37"/>
      <c r="E68" s="23"/>
      <c r="F68" s="25"/>
      <c r="G68" s="17"/>
      <c r="H68" s="16"/>
      <c r="I68" s="17"/>
      <c r="J68" s="24"/>
    </row>
    <row r="69" spans="1:10" s="73" customFormat="1" ht="14.45" customHeight="1" x14ac:dyDescent="0.25">
      <c r="A69" s="44"/>
      <c r="B69" s="29"/>
      <c r="C69" s="27"/>
      <c r="D69" s="37"/>
      <c r="E69" s="23"/>
      <c r="F69" s="25"/>
      <c r="G69" s="17"/>
      <c r="H69" s="16"/>
      <c r="I69" s="17"/>
      <c r="J69" s="24"/>
    </row>
    <row r="70" spans="1:10" s="73" customFormat="1" ht="14.45" customHeight="1" x14ac:dyDescent="0.25">
      <c r="A70" s="26"/>
      <c r="B70" s="29"/>
      <c r="C70" s="35"/>
      <c r="D70" s="5"/>
      <c r="E70" s="23"/>
      <c r="F70" s="25"/>
      <c r="G70" s="17"/>
      <c r="H70" s="16"/>
      <c r="I70" s="17"/>
      <c r="J70" s="24"/>
    </row>
    <row r="71" spans="1:10" s="73" customFormat="1" ht="14.45" customHeight="1" x14ac:dyDescent="0.25">
      <c r="A71" s="26"/>
      <c r="B71" s="29"/>
      <c r="C71" s="35"/>
      <c r="D71" s="5"/>
      <c r="E71" s="23"/>
      <c r="F71" s="25"/>
      <c r="G71" s="17"/>
      <c r="H71" s="16"/>
      <c r="I71" s="17"/>
      <c r="J71" s="24"/>
    </row>
    <row r="72" spans="1:10" s="73" customFormat="1" ht="14.45" customHeight="1" x14ac:dyDescent="0.25">
      <c r="A72" s="26"/>
      <c r="B72" s="29"/>
      <c r="C72" s="27"/>
      <c r="D72" s="5"/>
      <c r="E72" s="23"/>
      <c r="F72" s="25"/>
      <c r="G72" s="17"/>
      <c r="H72" s="16"/>
      <c r="I72" s="17"/>
      <c r="J72" s="24"/>
    </row>
    <row r="73" spans="1:10" s="73" customFormat="1" ht="14.45" customHeight="1" x14ac:dyDescent="0.25">
      <c r="A73" s="26"/>
      <c r="B73" s="29"/>
      <c r="C73" s="35"/>
      <c r="D73" s="5"/>
      <c r="E73" s="23"/>
      <c r="F73" s="25"/>
      <c r="G73" s="17"/>
      <c r="H73" s="16"/>
      <c r="I73" s="17"/>
      <c r="J73" s="24"/>
    </row>
    <row r="74" spans="1:10" s="73" customFormat="1" ht="14.45" customHeight="1" x14ac:dyDescent="0.25">
      <c r="A74" s="26"/>
      <c r="B74" s="29"/>
      <c r="C74" s="35"/>
      <c r="D74" s="5"/>
      <c r="E74" s="23"/>
      <c r="F74" s="25"/>
      <c r="G74" s="17"/>
      <c r="H74" s="16"/>
      <c r="I74" s="17"/>
      <c r="J74" s="24"/>
    </row>
    <row r="75" spans="1:10" s="73" customFormat="1" ht="14.45" customHeight="1" x14ac:dyDescent="0.25">
      <c r="A75" s="26"/>
      <c r="B75" s="29"/>
      <c r="C75" s="35"/>
      <c r="D75" s="5"/>
      <c r="E75" s="23"/>
      <c r="F75" s="25"/>
      <c r="G75" s="17"/>
      <c r="H75" s="16"/>
      <c r="I75" s="17"/>
      <c r="J75" s="24"/>
    </row>
    <row r="76" spans="1:10" s="73" customFormat="1" ht="14.45" customHeight="1" x14ac:dyDescent="0.25">
      <c r="A76" s="26"/>
      <c r="B76" s="29"/>
      <c r="C76" s="35"/>
      <c r="D76" s="5"/>
      <c r="E76" s="23"/>
      <c r="F76" s="25"/>
      <c r="G76" s="17"/>
      <c r="H76" s="16"/>
      <c r="I76" s="17"/>
      <c r="J76" s="24"/>
    </row>
    <row r="77" spans="1:10" s="73" customFormat="1" ht="14.45" customHeight="1" x14ac:dyDescent="0.25">
      <c r="A77" s="26"/>
      <c r="B77" s="29"/>
      <c r="C77" s="35"/>
      <c r="D77" s="5"/>
      <c r="E77" s="23"/>
      <c r="F77" s="25"/>
      <c r="G77" s="17"/>
      <c r="H77" s="16"/>
      <c r="I77" s="17"/>
      <c r="J77" s="24"/>
    </row>
    <row r="78" spans="1:10" s="73" customFormat="1" ht="14.45" customHeight="1" x14ac:dyDescent="0.25">
      <c r="A78" s="26"/>
      <c r="B78" s="29"/>
      <c r="C78" s="35"/>
      <c r="D78" s="5"/>
      <c r="E78" s="23"/>
      <c r="F78" s="25"/>
      <c r="G78" s="17"/>
      <c r="H78" s="16"/>
      <c r="I78" s="17"/>
      <c r="J78" s="24"/>
    </row>
    <row r="79" spans="1:10" s="73" customFormat="1" ht="14.45" customHeight="1" x14ac:dyDescent="0.25">
      <c r="A79" s="26"/>
      <c r="B79" s="29"/>
      <c r="C79" s="27"/>
      <c r="D79" s="5"/>
      <c r="E79" s="23"/>
      <c r="F79" s="25"/>
      <c r="G79" s="17"/>
      <c r="H79" s="16"/>
      <c r="I79" s="17"/>
      <c r="J79" s="24"/>
    </row>
    <row r="80" spans="1:10" s="73" customFormat="1" ht="14.45" customHeight="1" x14ac:dyDescent="0.25">
      <c r="A80" s="26"/>
      <c r="B80" s="29"/>
      <c r="C80" s="27"/>
      <c r="D80" s="5"/>
      <c r="E80" s="23"/>
      <c r="F80" s="25"/>
      <c r="G80" s="17"/>
      <c r="H80" s="16"/>
      <c r="I80" s="17"/>
      <c r="J80" s="24"/>
    </row>
    <row r="81" spans="1:10" s="73" customFormat="1" ht="14.45" customHeight="1" x14ac:dyDescent="0.25">
      <c r="A81" s="26"/>
      <c r="B81" s="29"/>
      <c r="C81" s="27"/>
      <c r="D81" s="5"/>
      <c r="E81" s="23"/>
      <c r="F81" s="25"/>
      <c r="G81" s="17"/>
      <c r="H81" s="16"/>
      <c r="I81" s="17"/>
      <c r="J81" s="24"/>
    </row>
    <row r="82" spans="1:10" s="73" customFormat="1" ht="14.45" customHeight="1" x14ac:dyDescent="0.25">
      <c r="A82" s="26"/>
      <c r="B82" s="29"/>
      <c r="C82" s="27"/>
      <c r="D82" s="5"/>
      <c r="E82" s="23"/>
      <c r="F82" s="25"/>
      <c r="G82" s="17"/>
      <c r="H82" s="16"/>
      <c r="I82" s="17"/>
      <c r="J82" s="24"/>
    </row>
    <row r="83" spans="1:10" s="73" customFormat="1" ht="14.45" customHeight="1" x14ac:dyDescent="0.25">
      <c r="A83" s="26"/>
      <c r="B83" s="29"/>
      <c r="C83" s="27"/>
      <c r="D83" s="5"/>
      <c r="E83" s="23"/>
      <c r="F83" s="25"/>
      <c r="G83" s="17"/>
      <c r="H83" s="16"/>
      <c r="I83" s="17"/>
      <c r="J83" s="24"/>
    </row>
    <row r="84" spans="1:10" s="73" customFormat="1" ht="14.45" customHeight="1" x14ac:dyDescent="0.25">
      <c r="A84" s="26"/>
      <c r="B84" s="29"/>
      <c r="C84" s="27"/>
      <c r="D84" s="5"/>
      <c r="E84" s="23"/>
      <c r="F84" s="25"/>
      <c r="G84" s="17"/>
      <c r="H84" s="16"/>
      <c r="I84" s="17"/>
      <c r="J84" s="24"/>
    </row>
    <row r="85" spans="1:10" s="73" customFormat="1" ht="14.45" customHeight="1" x14ac:dyDescent="0.25">
      <c r="A85" s="26"/>
      <c r="B85" s="29"/>
      <c r="C85" s="27"/>
      <c r="D85" s="5"/>
      <c r="E85" s="23"/>
      <c r="F85" s="25"/>
      <c r="G85" s="17"/>
      <c r="H85" s="16"/>
      <c r="I85" s="17"/>
      <c r="J85" s="24"/>
    </row>
    <row r="86" spans="1:10" s="73" customFormat="1" ht="14.45" customHeight="1" x14ac:dyDescent="0.25">
      <c r="A86" s="26"/>
      <c r="B86" s="29"/>
      <c r="C86" s="27"/>
      <c r="D86" s="5"/>
      <c r="E86" s="23"/>
      <c r="F86" s="25"/>
      <c r="G86" s="17"/>
      <c r="H86" s="16"/>
      <c r="I86" s="17"/>
      <c r="J86" s="24"/>
    </row>
    <row r="87" spans="1:10" s="73" customFormat="1" ht="14.45" customHeight="1" x14ac:dyDescent="0.25">
      <c r="A87" s="26"/>
      <c r="B87" s="29"/>
      <c r="C87" s="27"/>
      <c r="D87" s="5"/>
      <c r="E87" s="23"/>
      <c r="F87" s="25"/>
      <c r="G87" s="17"/>
      <c r="H87" s="16"/>
      <c r="I87" s="17"/>
      <c r="J87" s="24"/>
    </row>
    <row r="88" spans="1:10" s="73" customFormat="1" ht="14.45" customHeight="1" x14ac:dyDescent="0.25">
      <c r="A88" s="26"/>
      <c r="B88" s="29"/>
      <c r="C88" s="27"/>
      <c r="D88" s="5"/>
      <c r="E88" s="23"/>
      <c r="F88" s="25"/>
      <c r="G88" s="17"/>
      <c r="H88" s="16"/>
      <c r="I88" s="17"/>
      <c r="J88" s="24"/>
    </row>
    <row r="89" spans="1:10" s="73" customFormat="1" ht="14.45" customHeight="1" x14ac:dyDescent="0.25">
      <c r="A89" s="26"/>
      <c r="B89" s="29"/>
      <c r="C89" s="27"/>
      <c r="D89" s="5"/>
      <c r="E89" s="23"/>
      <c r="F89" s="25"/>
      <c r="G89" s="17"/>
      <c r="H89" s="16"/>
      <c r="I89" s="17"/>
      <c r="J89" s="24"/>
    </row>
    <row r="90" spans="1:10" s="73" customFormat="1" ht="14.45" customHeight="1" x14ac:dyDescent="0.25">
      <c r="A90" s="26"/>
      <c r="B90" s="29"/>
      <c r="C90" s="27"/>
      <c r="D90" s="5"/>
      <c r="E90" s="23"/>
      <c r="F90" s="25"/>
      <c r="G90" s="17"/>
      <c r="H90" s="16"/>
      <c r="I90" s="17"/>
      <c r="J90" s="24"/>
    </row>
    <row r="91" spans="1:10" s="73" customFormat="1" ht="14.45" customHeight="1" x14ac:dyDescent="0.25">
      <c r="A91" s="51"/>
      <c r="B91" s="29"/>
      <c r="C91" s="27"/>
      <c r="D91" s="42"/>
      <c r="E91" s="23"/>
      <c r="F91" s="25"/>
      <c r="G91" s="17"/>
      <c r="H91" s="16"/>
      <c r="I91" s="17"/>
      <c r="J91" s="24"/>
    </row>
    <row r="92" spans="1:10" s="73" customFormat="1" ht="14.45" customHeight="1" x14ac:dyDescent="0.25">
      <c r="A92" s="26"/>
      <c r="B92" s="29"/>
      <c r="C92" s="35"/>
      <c r="D92" s="5"/>
      <c r="E92" s="23"/>
      <c r="F92" s="25"/>
      <c r="G92" s="17"/>
      <c r="H92" s="16"/>
      <c r="I92" s="17"/>
      <c r="J92" s="24"/>
    </row>
    <row r="93" spans="1:10" s="73" customFormat="1" ht="14.45" customHeight="1" x14ac:dyDescent="0.25">
      <c r="A93" s="52"/>
      <c r="B93" s="29"/>
      <c r="C93" s="41"/>
      <c r="D93" s="43"/>
      <c r="E93" s="23"/>
      <c r="F93" s="25"/>
      <c r="G93" s="17"/>
      <c r="H93" s="16"/>
      <c r="I93" s="17"/>
      <c r="J93" s="24"/>
    </row>
    <row r="94" spans="1:10" s="73" customFormat="1" ht="14.45" customHeight="1" x14ac:dyDescent="0.25">
      <c r="A94" s="26"/>
      <c r="B94" s="29"/>
      <c r="C94" s="27"/>
      <c r="D94" s="5"/>
      <c r="E94" s="23"/>
      <c r="F94" s="25"/>
      <c r="G94" s="17"/>
      <c r="H94" s="16"/>
      <c r="I94" s="17"/>
      <c r="J94" s="24"/>
    </row>
    <row r="95" spans="1:10" s="73" customFormat="1" ht="14.45" customHeight="1" x14ac:dyDescent="0.25">
      <c r="A95" s="26"/>
      <c r="B95" s="29"/>
      <c r="C95" s="27"/>
      <c r="D95" s="17"/>
      <c r="E95" s="23"/>
      <c r="F95" s="25"/>
      <c r="G95" s="17"/>
      <c r="H95" s="16"/>
      <c r="I95" s="17"/>
      <c r="J95" s="24"/>
    </row>
    <row r="96" spans="1:10" s="73" customFormat="1" ht="14.45" customHeight="1" x14ac:dyDescent="0.25">
      <c r="A96" s="26"/>
      <c r="B96" s="29"/>
      <c r="C96" s="35"/>
      <c r="D96" s="5"/>
      <c r="E96" s="23"/>
      <c r="F96" s="25"/>
      <c r="G96" s="17"/>
      <c r="H96" s="16"/>
      <c r="I96" s="17"/>
      <c r="J96" s="24"/>
    </row>
    <row r="97" spans="1:10" s="73" customFormat="1" ht="14.45" customHeight="1" x14ac:dyDescent="0.25">
      <c r="A97" s="26"/>
      <c r="B97" s="29"/>
      <c r="C97" s="27"/>
      <c r="D97" s="5"/>
      <c r="E97" s="23"/>
      <c r="F97" s="25"/>
      <c r="G97" s="17"/>
      <c r="H97" s="16"/>
      <c r="I97" s="17"/>
      <c r="J97" s="24"/>
    </row>
    <row r="98" spans="1:10" s="73" customFormat="1" ht="14.45" customHeight="1" x14ac:dyDescent="0.25">
      <c r="A98" s="51"/>
      <c r="B98" s="29"/>
      <c r="C98" s="27"/>
      <c r="D98" s="42"/>
      <c r="E98" s="23"/>
      <c r="F98" s="25"/>
      <c r="G98" s="17"/>
      <c r="H98" s="16"/>
      <c r="I98" s="17"/>
      <c r="J98" s="24"/>
    </row>
    <row r="99" spans="1:10" s="73" customFormat="1" ht="14.45" customHeight="1" x14ac:dyDescent="0.25">
      <c r="A99" s="51"/>
      <c r="B99" s="29"/>
      <c r="C99" s="27"/>
      <c r="D99" s="42"/>
      <c r="E99" s="23"/>
      <c r="F99" s="25"/>
      <c r="G99" s="17"/>
      <c r="H99" s="16"/>
      <c r="I99" s="17"/>
      <c r="J99" s="24"/>
    </row>
    <row r="100" spans="1:10" s="73" customFormat="1" ht="14.45" customHeight="1" x14ac:dyDescent="0.25">
      <c r="A100" s="26"/>
      <c r="B100" s="29"/>
      <c r="C100" s="27"/>
      <c r="D100" s="5"/>
      <c r="E100" s="23"/>
      <c r="F100" s="23"/>
      <c r="G100" s="17"/>
      <c r="H100" s="16"/>
      <c r="I100" s="17"/>
      <c r="J100" s="24"/>
    </row>
    <row r="101" spans="1:10" s="73" customFormat="1" ht="14.45" customHeight="1" x14ac:dyDescent="0.25">
      <c r="A101" s="26"/>
      <c r="B101" s="29"/>
      <c r="C101" s="27"/>
      <c r="D101" s="4"/>
      <c r="E101" s="23"/>
      <c r="F101" s="23"/>
      <c r="G101" s="17"/>
      <c r="H101" s="16"/>
      <c r="I101" s="17"/>
      <c r="J101" s="24"/>
    </row>
    <row r="102" spans="1:10" s="73" customFormat="1" ht="14.45" customHeight="1" x14ac:dyDescent="0.25">
      <c r="A102" s="26"/>
      <c r="B102" s="29"/>
      <c r="C102" s="27"/>
      <c r="D102" s="3"/>
      <c r="E102" s="23"/>
      <c r="F102" s="23"/>
      <c r="G102" s="17"/>
      <c r="H102" s="16"/>
      <c r="I102" s="17"/>
      <c r="J102" s="24"/>
    </row>
    <row r="103" spans="1:10" s="73" customFormat="1" ht="14.45" customHeight="1" x14ac:dyDescent="0.25">
      <c r="A103" s="26"/>
      <c r="B103" s="29"/>
      <c r="C103" s="27"/>
      <c r="D103" s="3"/>
      <c r="E103" s="23"/>
      <c r="F103" s="23"/>
      <c r="G103" s="17"/>
      <c r="H103" s="16"/>
      <c r="I103" s="17"/>
      <c r="J103" s="24"/>
    </row>
    <row r="104" spans="1:10" s="73" customFormat="1" ht="14.45" customHeight="1" x14ac:dyDescent="0.25">
      <c r="A104" s="48"/>
      <c r="B104" s="29"/>
      <c r="C104" s="27"/>
      <c r="D104" s="5"/>
      <c r="E104" s="23"/>
      <c r="F104" s="25"/>
      <c r="G104" s="17"/>
      <c r="H104" s="16"/>
      <c r="I104" s="17"/>
      <c r="J104" s="24"/>
    </row>
    <row r="105" spans="1:10" s="73" customFormat="1" ht="14.45" customHeight="1" x14ac:dyDescent="0.25">
      <c r="A105" s="26"/>
      <c r="B105" s="29"/>
      <c r="C105" s="27"/>
      <c r="D105" s="5"/>
      <c r="E105" s="23"/>
      <c r="F105" s="25"/>
      <c r="G105" s="17"/>
      <c r="H105" s="16"/>
      <c r="I105" s="17"/>
      <c r="J105" s="24"/>
    </row>
    <row r="106" spans="1:10" s="73" customFormat="1" ht="14.45" customHeight="1" x14ac:dyDescent="0.25">
      <c r="A106" s="26"/>
      <c r="B106" s="29"/>
      <c r="C106" s="27"/>
      <c r="D106" s="5"/>
      <c r="E106" s="23"/>
      <c r="F106" s="23"/>
      <c r="G106" s="17"/>
      <c r="H106" s="16"/>
      <c r="I106" s="17"/>
      <c r="J106" s="24"/>
    </row>
    <row r="107" spans="1:10" s="73" customFormat="1" ht="14.45" customHeight="1" x14ac:dyDescent="0.25">
      <c r="A107" s="26"/>
      <c r="B107" s="29"/>
      <c r="C107" s="27"/>
      <c r="D107" s="5"/>
      <c r="E107" s="23"/>
      <c r="F107" s="25"/>
      <c r="G107" s="17"/>
      <c r="H107" s="16"/>
      <c r="I107" s="17"/>
      <c r="J107" s="24"/>
    </row>
    <row r="108" spans="1:10" s="73" customFormat="1" ht="14.45" customHeight="1" x14ac:dyDescent="0.25">
      <c r="A108" s="26"/>
      <c r="B108" s="29"/>
      <c r="C108" s="27"/>
      <c r="D108" s="5"/>
      <c r="E108" s="23"/>
      <c r="F108" s="25"/>
      <c r="G108" s="17"/>
      <c r="H108" s="16"/>
      <c r="I108" s="17"/>
      <c r="J108" s="24"/>
    </row>
    <row r="109" spans="1:10" s="73" customFormat="1" ht="14.45" customHeight="1" x14ac:dyDescent="0.25">
      <c r="A109" s="26"/>
      <c r="B109" s="29"/>
      <c r="C109" s="34"/>
      <c r="D109" s="50"/>
      <c r="E109" s="23"/>
      <c r="F109" s="25"/>
      <c r="G109" s="17"/>
      <c r="H109" s="16"/>
      <c r="I109" s="17"/>
      <c r="J109" s="24"/>
    </row>
    <row r="110" spans="1:10" s="73" customFormat="1" ht="14.45" customHeight="1" x14ac:dyDescent="0.25">
      <c r="A110" s="26"/>
      <c r="B110" s="29"/>
      <c r="C110" s="34"/>
      <c r="D110" s="5"/>
      <c r="E110" s="23"/>
      <c r="F110" s="25"/>
      <c r="G110" s="17"/>
      <c r="H110" s="16"/>
      <c r="I110" s="17"/>
      <c r="J110" s="24"/>
    </row>
    <row r="111" spans="1:10" s="73" customFormat="1" ht="14.45" customHeight="1" x14ac:dyDescent="0.25">
      <c r="A111" s="26"/>
      <c r="B111" s="29"/>
      <c r="C111" s="27"/>
      <c r="D111" s="5"/>
      <c r="E111" s="23"/>
      <c r="F111" s="25"/>
      <c r="G111" s="17"/>
      <c r="H111" s="16"/>
      <c r="I111" s="17"/>
      <c r="J111" s="24"/>
    </row>
    <row r="112" spans="1:10" s="73" customFormat="1" ht="14.45" customHeight="1" x14ac:dyDescent="0.25">
      <c r="A112" s="26"/>
      <c r="B112" s="29"/>
      <c r="C112" s="34"/>
      <c r="D112" s="5"/>
      <c r="E112" s="23"/>
      <c r="F112" s="25"/>
      <c r="G112" s="17"/>
      <c r="H112" s="16"/>
      <c r="I112" s="17"/>
      <c r="J112" s="24"/>
    </row>
    <row r="113" spans="1:10" s="73" customFormat="1" ht="14.45" customHeight="1" x14ac:dyDescent="0.25">
      <c r="A113" s="26"/>
      <c r="B113" s="29"/>
      <c r="C113" s="27"/>
      <c r="D113" s="5"/>
      <c r="E113" s="23"/>
      <c r="F113" s="25"/>
      <c r="G113" s="17"/>
      <c r="H113" s="16"/>
      <c r="I113" s="17"/>
      <c r="J113" s="24"/>
    </row>
    <row r="114" spans="1:10" s="73" customFormat="1" ht="14.45" customHeight="1" x14ac:dyDescent="0.25">
      <c r="A114" s="26"/>
      <c r="B114" s="29"/>
      <c r="C114" s="27"/>
      <c r="D114" s="5"/>
      <c r="E114" s="23"/>
      <c r="F114" s="25"/>
      <c r="G114" s="17"/>
      <c r="H114" s="16"/>
      <c r="I114" s="17"/>
      <c r="J114" s="24"/>
    </row>
    <row r="115" spans="1:10" s="73" customFormat="1" ht="14.45" customHeight="1" x14ac:dyDescent="0.25">
      <c r="A115" s="26"/>
      <c r="B115" s="29"/>
      <c r="C115" s="27"/>
      <c r="D115" s="5"/>
      <c r="E115" s="23"/>
      <c r="F115" s="25"/>
      <c r="G115" s="17"/>
      <c r="H115" s="16"/>
      <c r="I115" s="17"/>
      <c r="J115" s="24"/>
    </row>
    <row r="116" spans="1:10" s="73" customFormat="1" ht="14.45" customHeight="1" x14ac:dyDescent="0.25">
      <c r="A116" s="26"/>
      <c r="B116" s="29"/>
      <c r="C116" s="27"/>
      <c r="D116" s="5"/>
      <c r="E116" s="23"/>
      <c r="F116" s="25"/>
      <c r="G116" s="17"/>
      <c r="H116" s="16"/>
      <c r="I116" s="17"/>
      <c r="J116" s="24"/>
    </row>
    <row r="117" spans="1:10" s="73" customFormat="1" ht="14.45" customHeight="1" x14ac:dyDescent="0.25">
      <c r="A117" s="44"/>
      <c r="B117" s="29"/>
      <c r="C117" s="35"/>
      <c r="D117" s="36"/>
      <c r="E117" s="23"/>
      <c r="F117" s="25"/>
      <c r="G117" s="17"/>
      <c r="H117" s="16"/>
      <c r="I117" s="17"/>
      <c r="J117" s="24"/>
    </row>
    <row r="118" spans="1:10" s="73" customFormat="1" ht="14.45" customHeight="1" x14ac:dyDescent="0.25">
      <c r="A118" s="26"/>
      <c r="B118" s="29"/>
      <c r="C118" s="35"/>
      <c r="D118" s="36"/>
      <c r="E118" s="23"/>
      <c r="F118" s="25"/>
      <c r="G118" s="17"/>
      <c r="H118" s="16"/>
      <c r="I118" s="17"/>
      <c r="J118" s="24"/>
    </row>
    <row r="119" spans="1:10" s="73" customFormat="1" ht="14.45" customHeight="1" x14ac:dyDescent="0.25">
      <c r="A119" s="26"/>
      <c r="B119" s="29"/>
      <c r="C119" s="35"/>
      <c r="D119" s="5"/>
      <c r="E119" s="23"/>
      <c r="F119" s="25"/>
      <c r="G119" s="17"/>
      <c r="H119" s="16"/>
      <c r="I119" s="17"/>
      <c r="J119" s="24"/>
    </row>
    <row r="120" spans="1:10" s="73" customFormat="1" ht="14.45" customHeight="1" x14ac:dyDescent="0.25">
      <c r="A120" s="26"/>
      <c r="B120" s="29"/>
      <c r="C120" s="35"/>
      <c r="D120" s="5"/>
      <c r="E120" s="23"/>
      <c r="F120" s="25"/>
      <c r="G120" s="17"/>
      <c r="H120" s="16"/>
      <c r="I120" s="17"/>
      <c r="J120" s="24"/>
    </row>
    <row r="121" spans="1:10" s="73" customFormat="1" ht="14.45" customHeight="1" x14ac:dyDescent="0.25">
      <c r="A121" s="26"/>
      <c r="B121" s="29"/>
      <c r="C121" s="35"/>
      <c r="D121" s="36"/>
      <c r="E121" s="23"/>
      <c r="F121" s="25"/>
      <c r="G121" s="17"/>
      <c r="H121" s="16"/>
      <c r="I121" s="17"/>
      <c r="J121" s="24"/>
    </row>
    <row r="122" spans="1:10" s="73" customFormat="1" ht="14.45" customHeight="1" x14ac:dyDescent="0.25">
      <c r="A122" s="26"/>
      <c r="B122" s="29"/>
      <c r="C122" s="27"/>
      <c r="D122" s="5"/>
      <c r="E122" s="23"/>
      <c r="F122" s="25"/>
      <c r="G122" s="17"/>
      <c r="H122" s="16"/>
      <c r="I122" s="17"/>
      <c r="J122" s="24"/>
    </row>
    <row r="123" spans="1:10" s="73" customFormat="1" ht="14.45" customHeight="1" x14ac:dyDescent="0.25">
      <c r="A123" s="26"/>
      <c r="B123" s="29"/>
      <c r="C123" s="35"/>
      <c r="D123" s="5"/>
      <c r="E123" s="23"/>
      <c r="F123" s="25"/>
      <c r="G123" s="17"/>
      <c r="H123" s="16"/>
      <c r="I123" s="17"/>
      <c r="J123" s="24"/>
    </row>
    <row r="124" spans="1:10" s="73" customFormat="1" ht="14.45" customHeight="1" x14ac:dyDescent="0.25">
      <c r="A124" s="26"/>
      <c r="B124" s="29"/>
      <c r="C124" s="35"/>
      <c r="D124" s="5"/>
      <c r="E124" s="23"/>
      <c r="F124" s="25"/>
      <c r="G124" s="17"/>
      <c r="H124" s="16"/>
      <c r="I124" s="17"/>
      <c r="J124" s="24"/>
    </row>
    <row r="125" spans="1:10" s="73" customFormat="1" ht="14.45" customHeight="1" x14ac:dyDescent="0.25">
      <c r="A125" s="26"/>
      <c r="B125" s="29"/>
      <c r="C125" s="27"/>
      <c r="D125" s="5"/>
      <c r="E125" s="23"/>
      <c r="F125" s="25"/>
      <c r="G125" s="17"/>
      <c r="H125" s="16"/>
      <c r="I125" s="17"/>
      <c r="J125" s="24"/>
    </row>
    <row r="126" spans="1:10" s="73" customFormat="1" ht="14.45" customHeight="1" x14ac:dyDescent="0.25">
      <c r="A126" s="44"/>
      <c r="B126" s="29"/>
      <c r="C126" s="27"/>
      <c r="D126" s="37"/>
      <c r="E126" s="23"/>
      <c r="F126" s="25"/>
      <c r="G126" s="17"/>
      <c r="H126" s="16"/>
      <c r="I126" s="17"/>
      <c r="J126" s="24"/>
    </row>
    <row r="127" spans="1:10" s="73" customFormat="1" ht="14.45" customHeight="1" x14ac:dyDescent="0.25">
      <c r="A127" s="26"/>
      <c r="B127" s="29"/>
      <c r="C127" s="27"/>
      <c r="D127" s="37"/>
      <c r="E127" s="23"/>
      <c r="F127" s="25"/>
      <c r="G127" s="17"/>
      <c r="H127" s="16"/>
      <c r="I127" s="17"/>
      <c r="J127" s="24"/>
    </row>
    <row r="128" spans="1:10" s="73" customFormat="1" ht="14.45" customHeight="1" x14ac:dyDescent="0.25">
      <c r="A128" s="26"/>
      <c r="B128" s="29"/>
      <c r="C128" s="27"/>
      <c r="D128" s="5"/>
      <c r="E128" s="23"/>
      <c r="F128" s="25"/>
      <c r="G128" s="17"/>
      <c r="H128" s="16"/>
      <c r="I128" s="17"/>
      <c r="J128" s="24"/>
    </row>
    <row r="129" spans="1:10" s="73" customFormat="1" ht="14.45" customHeight="1" x14ac:dyDescent="0.25">
      <c r="A129" s="26"/>
      <c r="B129" s="29"/>
      <c r="C129" s="35"/>
      <c r="D129" s="5"/>
      <c r="E129" s="23"/>
      <c r="F129" s="25"/>
      <c r="G129" s="17"/>
      <c r="H129" s="16"/>
      <c r="I129" s="17"/>
      <c r="J129" s="24"/>
    </row>
    <row r="130" spans="1:10" s="73" customFormat="1" ht="14.45" customHeight="1" x14ac:dyDescent="0.25">
      <c r="A130" s="26"/>
      <c r="B130" s="29"/>
      <c r="C130" s="35"/>
      <c r="D130" s="5"/>
      <c r="E130" s="23"/>
      <c r="F130" s="25"/>
      <c r="G130" s="17"/>
      <c r="H130" s="16"/>
      <c r="I130" s="17"/>
      <c r="J130" s="24"/>
    </row>
    <row r="131" spans="1:10" s="73" customFormat="1" ht="14.45" customHeight="1" x14ac:dyDescent="0.25">
      <c r="A131" s="26"/>
      <c r="B131" s="29"/>
      <c r="C131" s="27"/>
      <c r="D131" s="5"/>
      <c r="E131" s="23"/>
      <c r="F131" s="25"/>
      <c r="G131" s="17"/>
      <c r="H131" s="16"/>
      <c r="I131" s="24"/>
      <c r="J131" s="24"/>
    </row>
    <row r="132" spans="1:10" s="73" customFormat="1" ht="14.45" customHeight="1" x14ac:dyDescent="0.25">
      <c r="A132" s="26"/>
      <c r="B132" s="29"/>
      <c r="C132" s="35"/>
      <c r="D132" s="5"/>
      <c r="E132" s="23"/>
      <c r="F132" s="25"/>
      <c r="G132" s="17"/>
      <c r="H132" s="16"/>
      <c r="I132" s="17"/>
      <c r="J132" s="24"/>
    </row>
    <row r="133" spans="1:10" s="73" customFormat="1" ht="14.45" customHeight="1" x14ac:dyDescent="0.25">
      <c r="A133" s="26"/>
      <c r="B133" s="29"/>
      <c r="C133" s="27"/>
      <c r="D133" s="5"/>
      <c r="E133" s="23"/>
      <c r="F133" s="25"/>
      <c r="G133" s="17"/>
      <c r="H133" s="16"/>
      <c r="I133" s="17"/>
      <c r="J133" s="24"/>
    </row>
    <row r="134" spans="1:10" s="73" customFormat="1" ht="14.45" customHeight="1" x14ac:dyDescent="0.25">
      <c r="A134" s="26"/>
      <c r="B134" s="29"/>
      <c r="C134" s="27"/>
      <c r="D134" s="5"/>
      <c r="E134" s="23"/>
      <c r="F134" s="25"/>
      <c r="G134" s="17"/>
      <c r="H134" s="16"/>
      <c r="I134" s="17"/>
      <c r="J134" s="24"/>
    </row>
    <row r="135" spans="1:10" s="73" customFormat="1" ht="14.45" customHeight="1" x14ac:dyDescent="0.25">
      <c r="A135" s="26"/>
      <c r="B135" s="29"/>
      <c r="C135" s="35"/>
      <c r="D135" s="5"/>
      <c r="E135" s="23"/>
      <c r="F135" s="25"/>
      <c r="G135" s="17"/>
      <c r="H135" s="16"/>
      <c r="I135" s="17"/>
      <c r="J135" s="24"/>
    </row>
    <row r="136" spans="1:10" s="73" customFormat="1" ht="14.45" customHeight="1" x14ac:dyDescent="0.25">
      <c r="A136" s="26"/>
      <c r="B136" s="29"/>
      <c r="C136" s="27"/>
      <c r="D136" s="5"/>
      <c r="E136" s="23"/>
      <c r="F136" s="25"/>
      <c r="G136" s="17"/>
      <c r="H136" s="16"/>
      <c r="I136" s="17"/>
      <c r="J136" s="24"/>
    </row>
    <row r="137" spans="1:10" s="73" customFormat="1" ht="14.45" customHeight="1" x14ac:dyDescent="0.25">
      <c r="A137" s="26"/>
      <c r="B137" s="29"/>
      <c r="C137" s="27"/>
      <c r="D137" s="17"/>
      <c r="E137" s="23"/>
      <c r="F137" s="25"/>
      <c r="G137" s="17"/>
      <c r="H137" s="16"/>
      <c r="I137" s="17"/>
      <c r="J137" s="24"/>
    </row>
    <row r="138" spans="1:10" s="73" customFormat="1" ht="14.45" customHeight="1" x14ac:dyDescent="0.25">
      <c r="A138" s="26"/>
      <c r="B138" s="29"/>
      <c r="C138" s="27"/>
      <c r="D138" s="5"/>
      <c r="E138" s="23"/>
      <c r="F138" s="25"/>
      <c r="G138" s="17"/>
      <c r="H138" s="16"/>
      <c r="I138" s="17"/>
      <c r="J138" s="24"/>
    </row>
    <row r="139" spans="1:10" s="73" customFormat="1" ht="14.45" customHeight="1" x14ac:dyDescent="0.25">
      <c r="A139" s="26"/>
      <c r="B139" s="29"/>
      <c r="C139" s="27"/>
      <c r="D139" s="5"/>
      <c r="E139" s="23"/>
      <c r="F139" s="25"/>
      <c r="G139" s="17"/>
      <c r="H139" s="16"/>
      <c r="I139" s="17"/>
      <c r="J139" s="24"/>
    </row>
    <row r="140" spans="1:10" s="73" customFormat="1" ht="14.45" customHeight="1" x14ac:dyDescent="0.25">
      <c r="A140" s="26"/>
      <c r="B140" s="29"/>
      <c r="C140" s="27"/>
      <c r="D140" s="5"/>
      <c r="E140" s="23"/>
      <c r="F140" s="25"/>
      <c r="G140" s="17"/>
      <c r="H140" s="16"/>
      <c r="I140" s="17"/>
      <c r="J140" s="24"/>
    </row>
    <row r="141" spans="1:10" s="73" customFormat="1" ht="14.45" customHeight="1" x14ac:dyDescent="0.25">
      <c r="A141" s="26"/>
      <c r="B141" s="29"/>
      <c r="C141" s="27"/>
      <c r="D141" s="5"/>
      <c r="E141" s="23"/>
      <c r="F141" s="25"/>
      <c r="G141" s="17"/>
      <c r="H141" s="16"/>
      <c r="I141" s="17"/>
      <c r="J141" s="24"/>
    </row>
    <row r="142" spans="1:10" s="73" customFormat="1" ht="14.45" customHeight="1" x14ac:dyDescent="0.25">
      <c r="A142" s="51"/>
      <c r="B142" s="29"/>
      <c r="C142" s="27"/>
      <c r="D142" s="42"/>
      <c r="E142" s="23"/>
      <c r="F142" s="25"/>
      <c r="G142" s="17"/>
      <c r="H142" s="16"/>
      <c r="I142" s="17"/>
      <c r="J142" s="24"/>
    </row>
    <row r="143" spans="1:10" s="73" customFormat="1" ht="14.45" customHeight="1" x14ac:dyDescent="0.25">
      <c r="A143" s="26"/>
      <c r="B143" s="29"/>
      <c r="C143" s="27"/>
      <c r="D143" s="5"/>
      <c r="E143" s="23"/>
      <c r="F143" s="25"/>
      <c r="G143" s="17"/>
      <c r="H143" s="16"/>
      <c r="I143" s="17"/>
      <c r="J143" s="24"/>
    </row>
    <row r="144" spans="1:10" s="73" customFormat="1" ht="14.45" customHeight="1" x14ac:dyDescent="0.25">
      <c r="A144" s="26"/>
      <c r="B144" s="29"/>
      <c r="C144" s="27"/>
      <c r="D144" s="42"/>
      <c r="E144" s="23"/>
      <c r="F144" s="25"/>
      <c r="G144" s="17"/>
      <c r="H144" s="16"/>
      <c r="I144" s="17"/>
      <c r="J144" s="24"/>
    </row>
    <row r="145" spans="1:10" s="73" customFormat="1" ht="14.45" customHeight="1" x14ac:dyDescent="0.25">
      <c r="A145" s="26"/>
      <c r="B145" s="29"/>
      <c r="C145" s="27"/>
      <c r="D145" s="42"/>
      <c r="E145" s="23"/>
      <c r="F145" s="25"/>
      <c r="G145" s="17"/>
      <c r="H145" s="16"/>
      <c r="I145" s="17"/>
      <c r="J145" s="24"/>
    </row>
    <row r="146" spans="1:10" s="73" customFormat="1" ht="14.45" customHeight="1" x14ac:dyDescent="0.25">
      <c r="A146" s="51"/>
      <c r="B146" s="29"/>
      <c r="C146" s="27"/>
      <c r="D146" s="42"/>
      <c r="E146" s="23"/>
      <c r="F146" s="25"/>
      <c r="G146" s="17"/>
      <c r="H146" s="16"/>
      <c r="I146" s="17"/>
      <c r="J146" s="24"/>
    </row>
    <row r="147" spans="1:10" s="73" customFormat="1" ht="14.45" customHeight="1" x14ac:dyDescent="0.25">
      <c r="A147" s="51"/>
      <c r="B147" s="29"/>
      <c r="C147" s="53"/>
      <c r="D147" s="42"/>
      <c r="E147" s="23"/>
      <c r="F147" s="25"/>
      <c r="G147" s="17"/>
      <c r="H147" s="16"/>
      <c r="I147" s="17"/>
      <c r="J147" s="24"/>
    </row>
    <row r="148" spans="1:10" s="73" customFormat="1" ht="14.45" customHeight="1" x14ac:dyDescent="0.25">
      <c r="A148" s="26"/>
      <c r="B148" s="29"/>
      <c r="C148" s="34"/>
      <c r="D148" s="5"/>
      <c r="E148" s="23"/>
      <c r="F148" s="25"/>
      <c r="G148" s="17"/>
      <c r="H148" s="16"/>
      <c r="I148" s="17"/>
      <c r="J148" s="24"/>
    </row>
    <row r="149" spans="1:10" s="73" customFormat="1" ht="14.45" customHeight="1" x14ac:dyDescent="0.25">
      <c r="A149" s="44"/>
      <c r="B149" s="29"/>
      <c r="C149" s="35"/>
      <c r="D149" s="5"/>
      <c r="E149" s="23"/>
      <c r="F149" s="25"/>
      <c r="G149" s="17"/>
      <c r="H149" s="16"/>
      <c r="I149" s="17"/>
      <c r="J149" s="24"/>
    </row>
    <row r="150" spans="1:10" s="73" customFormat="1" ht="14.45" customHeight="1" x14ac:dyDescent="0.25">
      <c r="A150" s="26"/>
      <c r="B150" s="29"/>
      <c r="C150" s="35"/>
      <c r="D150" s="36"/>
      <c r="E150" s="23"/>
      <c r="F150" s="25"/>
      <c r="G150" s="17"/>
      <c r="H150" s="16"/>
      <c r="I150" s="17"/>
      <c r="J150" s="24"/>
    </row>
    <row r="151" spans="1:10" s="73" customFormat="1" ht="14.45" customHeight="1" x14ac:dyDescent="0.25">
      <c r="A151" s="26"/>
      <c r="B151" s="29"/>
      <c r="C151" s="35"/>
      <c r="D151" s="5"/>
      <c r="E151" s="23"/>
      <c r="F151" s="25"/>
      <c r="G151" s="17"/>
      <c r="H151" s="16"/>
      <c r="I151" s="17"/>
      <c r="J151" s="24"/>
    </row>
    <row r="152" spans="1:10" s="73" customFormat="1" ht="14.45" customHeight="1" x14ac:dyDescent="0.25">
      <c r="A152" s="26"/>
      <c r="B152" s="29"/>
      <c r="C152" s="35"/>
      <c r="D152" s="5"/>
      <c r="E152" s="23"/>
      <c r="F152" s="25"/>
      <c r="G152" s="17"/>
      <c r="H152" s="16"/>
      <c r="I152" s="17"/>
      <c r="J152" s="24"/>
    </row>
    <row r="153" spans="1:10" s="73" customFormat="1" ht="14.45" customHeight="1" x14ac:dyDescent="0.25">
      <c r="A153" s="26"/>
      <c r="B153" s="29"/>
      <c r="C153" s="27"/>
      <c r="D153" s="5"/>
      <c r="E153" s="23"/>
      <c r="F153" s="25"/>
      <c r="G153" s="17"/>
      <c r="H153" s="16"/>
      <c r="I153" s="17"/>
      <c r="J153" s="24"/>
    </row>
    <row r="154" spans="1:10" s="73" customFormat="1" ht="14.45" customHeight="1" x14ac:dyDescent="0.25">
      <c r="A154" s="26"/>
      <c r="B154" s="29"/>
      <c r="C154" s="27"/>
      <c r="D154" s="5"/>
      <c r="E154" s="23"/>
      <c r="F154" s="25"/>
      <c r="G154" s="17"/>
      <c r="H154" s="16"/>
      <c r="I154" s="17"/>
      <c r="J154" s="24"/>
    </row>
    <row r="155" spans="1:10" s="73" customFormat="1" ht="14.45" customHeight="1" x14ac:dyDescent="0.25">
      <c r="A155" s="26"/>
      <c r="B155" s="29"/>
      <c r="C155" s="27"/>
      <c r="D155" s="5"/>
      <c r="E155" s="23"/>
      <c r="F155" s="25"/>
      <c r="G155" s="17"/>
      <c r="H155" s="16"/>
      <c r="I155" s="17"/>
      <c r="J155" s="24"/>
    </row>
    <row r="156" spans="1:10" s="73" customFormat="1" ht="14.45" customHeight="1" x14ac:dyDescent="0.25">
      <c r="A156" s="26"/>
      <c r="B156" s="29"/>
      <c r="C156" s="27"/>
      <c r="D156" s="5"/>
      <c r="E156" s="23"/>
      <c r="F156" s="25"/>
      <c r="G156" s="17"/>
      <c r="H156" s="16"/>
      <c r="I156" s="17"/>
      <c r="J156" s="24"/>
    </row>
    <row r="157" spans="1:10" s="73" customFormat="1" ht="14.45" customHeight="1" x14ac:dyDescent="0.25">
      <c r="A157" s="26"/>
      <c r="B157" s="29"/>
      <c r="C157" s="27"/>
      <c r="D157" s="5"/>
      <c r="E157" s="23"/>
      <c r="F157" s="25"/>
      <c r="G157" s="17"/>
      <c r="H157" s="16"/>
      <c r="I157" s="17"/>
      <c r="J157" s="24"/>
    </row>
    <row r="158" spans="1:10" s="73" customFormat="1" ht="14.45" customHeight="1" x14ac:dyDescent="0.25">
      <c r="A158" s="26"/>
      <c r="B158" s="29"/>
      <c r="C158" s="35"/>
      <c r="D158" s="5"/>
      <c r="E158" s="23"/>
      <c r="F158" s="25"/>
      <c r="G158" s="17"/>
      <c r="H158" s="16"/>
      <c r="I158" s="17"/>
      <c r="J158" s="24"/>
    </row>
    <row r="159" spans="1:10" s="73" customFormat="1" ht="14.45" customHeight="1" x14ac:dyDescent="0.25">
      <c r="A159" s="26"/>
      <c r="B159" s="29"/>
      <c r="C159" s="27"/>
      <c r="D159" s="5"/>
      <c r="E159" s="23"/>
      <c r="F159" s="25"/>
      <c r="G159" s="17"/>
      <c r="H159" s="16"/>
      <c r="I159" s="17"/>
      <c r="J159" s="24"/>
    </row>
    <row r="160" spans="1:10" s="73" customFormat="1" ht="14.45" customHeight="1" x14ac:dyDescent="0.25">
      <c r="A160" s="26"/>
      <c r="B160" s="29"/>
      <c r="C160" s="35"/>
      <c r="D160" s="5"/>
      <c r="E160" s="23"/>
      <c r="F160" s="25"/>
      <c r="G160" s="17"/>
      <c r="H160" s="16"/>
      <c r="I160" s="17"/>
      <c r="J160" s="24"/>
    </row>
    <row r="161" spans="1:10" s="73" customFormat="1" ht="14.45" customHeight="1" x14ac:dyDescent="0.25">
      <c r="A161" s="26"/>
      <c r="B161" s="29"/>
      <c r="C161" s="27"/>
      <c r="D161" s="5"/>
      <c r="E161" s="23"/>
      <c r="F161" s="25"/>
      <c r="G161" s="17"/>
      <c r="H161" s="16"/>
      <c r="I161" s="17"/>
      <c r="J161" s="24"/>
    </row>
    <row r="162" spans="1:10" s="73" customFormat="1" ht="14.45" customHeight="1" x14ac:dyDescent="0.25">
      <c r="A162" s="26"/>
      <c r="B162" s="29"/>
      <c r="C162" s="27"/>
      <c r="D162" s="5"/>
      <c r="E162" s="23"/>
      <c r="F162" s="25"/>
      <c r="G162" s="17"/>
      <c r="H162" s="16"/>
      <c r="I162" s="17"/>
      <c r="J162" s="24"/>
    </row>
    <row r="163" spans="1:10" s="73" customFormat="1" ht="14.45" customHeight="1" x14ac:dyDescent="0.25">
      <c r="A163" s="44"/>
      <c r="B163" s="29"/>
      <c r="C163" s="27"/>
      <c r="D163" s="5"/>
      <c r="E163" s="23"/>
      <c r="F163" s="25"/>
      <c r="G163" s="17"/>
      <c r="H163" s="16"/>
      <c r="I163" s="17"/>
      <c r="J163" s="24"/>
    </row>
    <row r="164" spans="1:10" s="73" customFormat="1" ht="14.45" customHeight="1" x14ac:dyDescent="0.25">
      <c r="A164" s="26"/>
      <c r="B164" s="29"/>
      <c r="C164" s="27"/>
      <c r="D164" s="5"/>
      <c r="E164" s="23"/>
      <c r="F164" s="25"/>
      <c r="G164" s="17"/>
      <c r="H164" s="16"/>
      <c r="I164" s="17"/>
      <c r="J164" s="24"/>
    </row>
    <row r="165" spans="1:10" s="73" customFormat="1" ht="14.45" customHeight="1" x14ac:dyDescent="0.25">
      <c r="A165" s="26"/>
      <c r="B165" s="29"/>
      <c r="C165" s="27"/>
      <c r="D165" s="5"/>
      <c r="E165" s="23"/>
      <c r="F165" s="25"/>
      <c r="G165" s="17"/>
      <c r="H165" s="16"/>
      <c r="I165" s="17"/>
      <c r="J165" s="24"/>
    </row>
    <row r="166" spans="1:10" s="73" customFormat="1" ht="14.45" customHeight="1" x14ac:dyDescent="0.25">
      <c r="A166" s="26"/>
      <c r="B166" s="29"/>
      <c r="C166" s="27"/>
      <c r="D166" s="5"/>
      <c r="E166" s="23"/>
      <c r="F166" s="25"/>
      <c r="G166" s="17"/>
      <c r="H166" s="16"/>
      <c r="I166" s="17"/>
      <c r="J166" s="24"/>
    </row>
    <row r="167" spans="1:10" s="73" customFormat="1" ht="14.45" customHeight="1" x14ac:dyDescent="0.25">
      <c r="A167" s="26"/>
      <c r="B167" s="29"/>
      <c r="C167" s="27"/>
      <c r="D167" s="5"/>
      <c r="E167" s="23"/>
      <c r="F167" s="25"/>
      <c r="G167" s="17"/>
      <c r="H167" s="16"/>
      <c r="I167" s="17"/>
      <c r="J167" s="24"/>
    </row>
    <row r="168" spans="1:10" s="73" customFormat="1" ht="14.45" customHeight="1" x14ac:dyDescent="0.25">
      <c r="A168" s="26"/>
      <c r="B168" s="29"/>
      <c r="C168" s="27"/>
      <c r="D168" s="5"/>
      <c r="E168" s="23"/>
      <c r="F168" s="25"/>
      <c r="G168" s="17"/>
      <c r="H168" s="16"/>
      <c r="I168" s="17"/>
      <c r="J168" s="24"/>
    </row>
    <row r="169" spans="1:10" s="73" customFormat="1" ht="14.45" customHeight="1" x14ac:dyDescent="0.25">
      <c r="A169" s="26"/>
      <c r="B169" s="29"/>
      <c r="C169" s="27"/>
      <c r="D169" s="5"/>
      <c r="E169" s="23"/>
      <c r="F169" s="25"/>
      <c r="G169" s="17"/>
      <c r="H169" s="16"/>
      <c r="I169" s="33"/>
      <c r="J169" s="24"/>
    </row>
    <row r="170" spans="1:10" s="73" customFormat="1" ht="14.45" customHeight="1" x14ac:dyDescent="0.25">
      <c r="A170" s="26"/>
      <c r="B170" s="29"/>
      <c r="C170" s="27"/>
      <c r="D170" s="5"/>
      <c r="E170" s="23"/>
      <c r="F170" s="25"/>
      <c r="G170" s="17"/>
      <c r="H170" s="16"/>
      <c r="I170" s="17"/>
      <c r="J170" s="24"/>
    </row>
    <row r="171" spans="1:10" s="73" customFormat="1" ht="14.45" customHeight="1" x14ac:dyDescent="0.25">
      <c r="A171" s="49"/>
      <c r="B171" s="29"/>
      <c r="C171" s="34"/>
      <c r="D171" s="50"/>
      <c r="E171" s="23"/>
      <c r="F171" s="25"/>
      <c r="G171" s="17"/>
      <c r="H171" s="16"/>
      <c r="I171" s="17"/>
      <c r="J171" s="24"/>
    </row>
    <row r="172" spans="1:10" s="73" customFormat="1" ht="14.45" customHeight="1" x14ac:dyDescent="0.25">
      <c r="A172" s="49"/>
      <c r="B172" s="29"/>
      <c r="C172" s="34"/>
      <c r="D172" s="50"/>
      <c r="E172" s="23"/>
      <c r="F172" s="25"/>
      <c r="G172" s="17"/>
      <c r="H172" s="16"/>
      <c r="I172" s="17"/>
      <c r="J172" s="24"/>
    </row>
    <row r="173" spans="1:10" s="73" customFormat="1" ht="14.45" customHeight="1" x14ac:dyDescent="0.25">
      <c r="A173" s="26"/>
      <c r="B173" s="29"/>
      <c r="C173" s="27"/>
      <c r="D173" s="5"/>
      <c r="E173" s="23"/>
      <c r="F173" s="25"/>
      <c r="G173" s="17"/>
      <c r="H173" s="16"/>
      <c r="I173" s="17"/>
      <c r="J173" s="24"/>
    </row>
    <row r="174" spans="1:10" s="73" customFormat="1" ht="14.45" customHeight="1" x14ac:dyDescent="0.25">
      <c r="A174" s="26"/>
      <c r="B174" s="29"/>
      <c r="C174" s="27"/>
      <c r="D174" s="5"/>
      <c r="E174" s="23"/>
      <c r="F174" s="25"/>
      <c r="G174" s="17"/>
      <c r="H174" s="16"/>
      <c r="I174" s="17"/>
      <c r="J174" s="24"/>
    </row>
    <row r="175" spans="1:10" s="73" customFormat="1" ht="14.45" customHeight="1" x14ac:dyDescent="0.25">
      <c r="A175" s="26"/>
      <c r="B175" s="29"/>
      <c r="C175" s="34"/>
      <c r="D175" s="5"/>
      <c r="E175" s="23"/>
      <c r="F175" s="25"/>
      <c r="G175" s="17"/>
      <c r="H175" s="16"/>
      <c r="I175" s="17"/>
      <c r="J175" s="24"/>
    </row>
    <row r="176" spans="1:10" s="73" customFormat="1" ht="14.45" customHeight="1" x14ac:dyDescent="0.25">
      <c r="A176" s="26"/>
      <c r="B176" s="29"/>
      <c r="C176" s="27"/>
      <c r="D176" s="5"/>
      <c r="E176" s="23"/>
      <c r="F176" s="25"/>
      <c r="G176" s="17"/>
      <c r="H176" s="16"/>
      <c r="I176" s="17"/>
      <c r="J176" s="24"/>
    </row>
    <row r="177" spans="1:10" s="73" customFormat="1" ht="14.45" customHeight="1" x14ac:dyDescent="0.25">
      <c r="A177" s="26"/>
      <c r="B177" s="29"/>
      <c r="C177" s="34"/>
      <c r="D177" s="50"/>
      <c r="E177" s="23"/>
      <c r="F177" s="25"/>
      <c r="G177" s="17"/>
      <c r="H177" s="16"/>
      <c r="I177" s="17"/>
      <c r="J177" s="24"/>
    </row>
    <row r="178" spans="1:10" s="73" customFormat="1" ht="14.45" customHeight="1" x14ac:dyDescent="0.25">
      <c r="A178" s="26"/>
      <c r="B178" s="29"/>
      <c r="C178" s="27"/>
      <c r="D178" s="5"/>
      <c r="E178" s="23"/>
      <c r="F178" s="25"/>
      <c r="G178" s="17"/>
      <c r="H178" s="38"/>
      <c r="I178" s="17"/>
      <c r="J178" s="24"/>
    </row>
    <row r="179" spans="1:10" s="73" customFormat="1" ht="14.45" customHeight="1" x14ac:dyDescent="0.25">
      <c r="A179" s="26"/>
      <c r="B179" s="29"/>
      <c r="C179" s="35"/>
      <c r="D179" s="5"/>
      <c r="E179" s="23"/>
      <c r="F179" s="25"/>
      <c r="G179" s="17"/>
      <c r="H179" s="16"/>
      <c r="I179" s="17"/>
      <c r="J179" s="24"/>
    </row>
    <row r="180" spans="1:10" s="73" customFormat="1" ht="14.45" customHeight="1" x14ac:dyDescent="0.25">
      <c r="A180" s="44"/>
      <c r="B180" s="29"/>
      <c r="C180" s="35"/>
      <c r="D180" s="5"/>
      <c r="E180" s="23"/>
      <c r="F180" s="25"/>
      <c r="G180" s="17"/>
      <c r="H180" s="16"/>
      <c r="I180" s="17"/>
      <c r="J180" s="24"/>
    </row>
    <row r="181" spans="1:10" s="73" customFormat="1" ht="14.45" customHeight="1" x14ac:dyDescent="0.25">
      <c r="A181" s="26"/>
      <c r="B181" s="29"/>
      <c r="C181" s="35"/>
      <c r="D181" s="5"/>
      <c r="E181" s="23"/>
      <c r="F181" s="25"/>
      <c r="G181" s="17"/>
      <c r="H181" s="16"/>
      <c r="I181" s="17"/>
      <c r="J181" s="24"/>
    </row>
    <row r="182" spans="1:10" s="73" customFormat="1" ht="14.45" customHeight="1" x14ac:dyDescent="0.25">
      <c r="A182" s="26"/>
      <c r="B182" s="29"/>
      <c r="C182" s="27"/>
      <c r="D182" s="5"/>
      <c r="E182" s="23"/>
      <c r="F182" s="25"/>
      <c r="G182" s="17"/>
      <c r="H182" s="16"/>
      <c r="I182" s="17"/>
      <c r="J182" s="24"/>
    </row>
    <row r="183" spans="1:10" s="73" customFormat="1" ht="14.45" customHeight="1" x14ac:dyDescent="0.25">
      <c r="A183" s="44"/>
      <c r="B183" s="29"/>
      <c r="C183" s="27"/>
      <c r="D183" s="37"/>
      <c r="E183" s="23"/>
      <c r="F183" s="25"/>
      <c r="G183" s="17"/>
      <c r="H183" s="16"/>
      <c r="I183" s="17"/>
      <c r="J183" s="24"/>
    </row>
    <row r="184" spans="1:10" s="73" customFormat="1" ht="14.45" customHeight="1" x14ac:dyDescent="0.25">
      <c r="A184" s="26"/>
      <c r="B184" s="29"/>
      <c r="C184" s="27"/>
      <c r="D184" s="37"/>
      <c r="E184" s="23"/>
      <c r="F184" s="25"/>
      <c r="G184" s="17"/>
      <c r="H184" s="16"/>
      <c r="I184" s="17"/>
      <c r="J184" s="24"/>
    </row>
    <row r="185" spans="1:10" s="73" customFormat="1" ht="14.45" customHeight="1" x14ac:dyDescent="0.25">
      <c r="A185" s="26"/>
      <c r="B185" s="29"/>
      <c r="C185" s="27"/>
      <c r="D185" s="5"/>
      <c r="E185" s="23"/>
      <c r="F185" s="25"/>
      <c r="G185" s="17"/>
      <c r="H185" s="16"/>
      <c r="I185" s="17"/>
      <c r="J185" s="24"/>
    </row>
    <row r="186" spans="1:10" s="73" customFormat="1" ht="14.45" customHeight="1" x14ac:dyDescent="0.25">
      <c r="A186" s="26"/>
      <c r="B186" s="29"/>
      <c r="C186" s="35"/>
      <c r="D186" s="5"/>
      <c r="E186" s="23"/>
      <c r="F186" s="25"/>
      <c r="G186" s="17"/>
      <c r="H186" s="16"/>
      <c r="I186" s="17"/>
      <c r="J186" s="24"/>
    </row>
    <row r="187" spans="1:10" s="73" customFormat="1" ht="14.45" customHeight="1" x14ac:dyDescent="0.25">
      <c r="A187" s="26"/>
      <c r="B187" s="29"/>
      <c r="C187" s="35"/>
      <c r="D187" s="5"/>
      <c r="E187" s="23"/>
      <c r="F187" s="25"/>
      <c r="G187" s="17"/>
      <c r="H187" s="16"/>
      <c r="I187" s="17"/>
      <c r="J187" s="24"/>
    </row>
    <row r="188" spans="1:10" s="73" customFormat="1" ht="14.45" customHeight="1" x14ac:dyDescent="0.25">
      <c r="A188" s="26"/>
      <c r="B188" s="29"/>
      <c r="C188" s="35"/>
      <c r="D188" s="5"/>
      <c r="E188" s="23"/>
      <c r="F188" s="25"/>
      <c r="G188" s="17"/>
      <c r="H188" s="16"/>
      <c r="I188" s="17"/>
      <c r="J188" s="24"/>
    </row>
    <row r="189" spans="1:10" s="73" customFormat="1" ht="14.45" customHeight="1" x14ac:dyDescent="0.25">
      <c r="A189" s="26"/>
      <c r="B189" s="29"/>
      <c r="C189" s="27"/>
      <c r="D189" s="17"/>
      <c r="E189" s="23"/>
      <c r="F189" s="25"/>
      <c r="G189" s="17"/>
      <c r="H189" s="16"/>
      <c r="I189" s="24"/>
      <c r="J189" s="24"/>
    </row>
    <row r="190" spans="1:10" s="73" customFormat="1" ht="14.45" customHeight="1" x14ac:dyDescent="0.25">
      <c r="A190" s="26"/>
      <c r="B190" s="29"/>
      <c r="C190" s="27"/>
      <c r="D190" s="5"/>
      <c r="E190" s="23"/>
      <c r="F190" s="25"/>
      <c r="G190" s="17"/>
      <c r="H190" s="16"/>
      <c r="I190" s="17"/>
      <c r="J190" s="24"/>
    </row>
    <row r="191" spans="1:10" s="73" customFormat="1" ht="14.45" customHeight="1" x14ac:dyDescent="0.25">
      <c r="A191" s="26"/>
      <c r="B191" s="29"/>
      <c r="C191" s="27"/>
      <c r="D191" s="5"/>
      <c r="E191" s="23"/>
      <c r="F191" s="25"/>
      <c r="G191" s="17"/>
      <c r="H191" s="16"/>
      <c r="I191" s="17"/>
      <c r="J191" s="24"/>
    </row>
    <row r="192" spans="1:10" s="73" customFormat="1" ht="14.45" customHeight="1" x14ac:dyDescent="0.25">
      <c r="A192" s="26"/>
      <c r="B192" s="29"/>
      <c r="C192" s="27"/>
      <c r="D192" s="5"/>
      <c r="E192" s="23"/>
      <c r="F192" s="25"/>
      <c r="G192" s="17"/>
      <c r="H192" s="16"/>
      <c r="I192" s="17"/>
      <c r="J192" s="24"/>
    </row>
    <row r="193" spans="1:10" s="73" customFormat="1" ht="14.45" customHeight="1" x14ac:dyDescent="0.25">
      <c r="A193" s="26"/>
      <c r="B193" s="29"/>
      <c r="C193" s="27"/>
      <c r="D193" s="5"/>
      <c r="E193" s="23"/>
      <c r="F193" s="25"/>
      <c r="G193" s="17"/>
      <c r="H193" s="16"/>
      <c r="I193" s="17"/>
      <c r="J193" s="24"/>
    </row>
    <row r="194" spans="1:10" s="73" customFormat="1" ht="14.45" customHeight="1" x14ac:dyDescent="0.25">
      <c r="A194" s="26"/>
      <c r="B194" s="29"/>
      <c r="C194" s="27"/>
      <c r="D194" s="5"/>
      <c r="E194" s="23"/>
      <c r="F194" s="25"/>
      <c r="G194" s="17"/>
      <c r="H194" s="16"/>
      <c r="I194" s="17"/>
      <c r="J194" s="24"/>
    </row>
    <row r="195" spans="1:10" s="73" customFormat="1" ht="14.45" customHeight="1" x14ac:dyDescent="0.25">
      <c r="A195" s="51"/>
      <c r="B195" s="29"/>
      <c r="C195" s="27"/>
      <c r="D195" s="42"/>
      <c r="E195" s="23"/>
      <c r="F195" s="25"/>
      <c r="G195" s="17"/>
      <c r="H195" s="16"/>
      <c r="I195" s="17"/>
      <c r="J195" s="24"/>
    </row>
    <row r="196" spans="1:10" s="73" customFormat="1" ht="14.45" customHeight="1" x14ac:dyDescent="0.25">
      <c r="A196" s="51"/>
      <c r="B196" s="29"/>
      <c r="C196" s="27"/>
      <c r="D196" s="42"/>
      <c r="E196" s="23"/>
      <c r="F196" s="25"/>
      <c r="G196" s="17"/>
      <c r="H196" s="16"/>
      <c r="I196" s="17"/>
      <c r="J196" s="24"/>
    </row>
    <row r="197" spans="1:10" s="73" customFormat="1" ht="14.45" customHeight="1" x14ac:dyDescent="0.25">
      <c r="A197" s="26"/>
      <c r="B197" s="29"/>
      <c r="C197" s="27"/>
      <c r="D197" s="5"/>
      <c r="E197" s="23"/>
      <c r="F197" s="25"/>
      <c r="G197" s="17"/>
      <c r="H197" s="16"/>
      <c r="I197" s="17"/>
      <c r="J197" s="24"/>
    </row>
    <row r="198" spans="1:10" s="73" customFormat="1" ht="14.45" customHeight="1" x14ac:dyDescent="0.25">
      <c r="A198" s="26"/>
      <c r="B198" s="29"/>
      <c r="C198" s="35"/>
      <c r="D198" s="5"/>
      <c r="E198" s="23"/>
      <c r="F198" s="25"/>
      <c r="G198" s="17"/>
      <c r="H198" s="16"/>
      <c r="I198" s="17"/>
      <c r="J198" s="24"/>
    </row>
    <row r="199" spans="1:10" s="73" customFormat="1" ht="14.45" customHeight="1" x14ac:dyDescent="0.25">
      <c r="A199" s="26"/>
      <c r="B199" s="29"/>
      <c r="C199" s="35"/>
      <c r="D199" s="5"/>
      <c r="E199" s="23"/>
      <c r="F199" s="25"/>
      <c r="G199" s="17"/>
      <c r="H199" s="16"/>
      <c r="I199" s="17"/>
      <c r="J199" s="24"/>
    </row>
    <row r="200" spans="1:10" s="73" customFormat="1" ht="14.45" customHeight="1" x14ac:dyDescent="0.25">
      <c r="A200" s="26"/>
      <c r="B200" s="29"/>
      <c r="C200" s="27"/>
      <c r="D200" s="17"/>
      <c r="E200" s="23"/>
      <c r="F200" s="25"/>
      <c r="G200" s="17"/>
      <c r="H200" s="16"/>
      <c r="I200" s="17"/>
      <c r="J200" s="24"/>
    </row>
    <row r="201" spans="1:10" s="73" customFormat="1" ht="14.45" customHeight="1" x14ac:dyDescent="0.25">
      <c r="A201" s="51"/>
      <c r="B201" s="29"/>
      <c r="C201" s="27"/>
      <c r="D201" s="42"/>
      <c r="E201" s="23"/>
      <c r="F201" s="25"/>
      <c r="G201" s="17"/>
      <c r="H201" s="16"/>
      <c r="I201" s="17"/>
      <c r="J201" s="24"/>
    </row>
    <row r="202" spans="1:10" s="73" customFormat="1" ht="14.45" customHeight="1" x14ac:dyDescent="0.25">
      <c r="A202" s="51"/>
      <c r="B202" s="29"/>
      <c r="C202" s="53"/>
      <c r="D202" s="42"/>
      <c r="E202" s="23"/>
      <c r="F202" s="25"/>
      <c r="G202" s="17"/>
      <c r="H202" s="16"/>
      <c r="I202" s="17"/>
      <c r="J202" s="24"/>
    </row>
    <row r="203" spans="1:10" s="73" customFormat="1" ht="14.45" customHeight="1" x14ac:dyDescent="0.25">
      <c r="A203" s="48"/>
      <c r="B203" s="29"/>
      <c r="C203" s="27"/>
      <c r="D203" s="5"/>
      <c r="E203" s="23"/>
      <c r="F203" s="25"/>
      <c r="G203" s="17"/>
      <c r="H203" s="16"/>
      <c r="I203" s="17"/>
      <c r="J203" s="24"/>
    </row>
    <row r="204" spans="1:10" s="73" customFormat="1" ht="14.45" customHeight="1" x14ac:dyDescent="0.25">
      <c r="A204" s="26"/>
      <c r="B204" s="29"/>
      <c r="C204" s="27"/>
      <c r="D204" s="5"/>
      <c r="E204" s="23"/>
      <c r="F204" s="25"/>
      <c r="G204" s="17"/>
      <c r="H204" s="16"/>
      <c r="I204" s="17"/>
      <c r="J204" s="24"/>
    </row>
    <row r="205" spans="1:10" s="73" customFormat="1" ht="14.45" customHeight="1" x14ac:dyDescent="0.25">
      <c r="A205" s="26"/>
      <c r="B205" s="29"/>
      <c r="C205" s="27"/>
      <c r="D205" s="5"/>
      <c r="E205" s="23"/>
      <c r="F205" s="25"/>
      <c r="G205" s="17"/>
      <c r="H205" s="16"/>
      <c r="I205" s="17"/>
      <c r="J205" s="24"/>
    </row>
    <row r="206" spans="1:10" s="73" customFormat="1" ht="14.45" customHeight="1" x14ac:dyDescent="0.25">
      <c r="A206" s="26"/>
      <c r="B206" s="29"/>
      <c r="C206" s="27"/>
      <c r="D206" s="5"/>
      <c r="E206" s="23"/>
      <c r="F206" s="25"/>
      <c r="G206" s="17"/>
      <c r="H206" s="16"/>
      <c r="I206" s="17"/>
      <c r="J206" s="24"/>
    </row>
    <row r="207" spans="1:10" s="73" customFormat="1" ht="14.45" customHeight="1" x14ac:dyDescent="0.25">
      <c r="A207" s="26"/>
      <c r="B207" s="29"/>
      <c r="C207" s="27"/>
      <c r="D207" s="5"/>
      <c r="E207" s="23"/>
      <c r="F207" s="25"/>
      <c r="G207" s="17"/>
      <c r="H207" s="16"/>
      <c r="I207" s="17"/>
      <c r="J207" s="24"/>
    </row>
    <row r="208" spans="1:10" s="73" customFormat="1" ht="14.45" customHeight="1" x14ac:dyDescent="0.25">
      <c r="A208" s="26"/>
      <c r="B208" s="29"/>
      <c r="C208" s="27"/>
      <c r="D208" s="5"/>
      <c r="E208" s="23"/>
      <c r="F208" s="25"/>
      <c r="G208" s="17"/>
      <c r="H208" s="16"/>
      <c r="I208" s="17"/>
      <c r="J208" s="24"/>
    </row>
    <row r="209" spans="1:10" s="73" customFormat="1" ht="14.45" customHeight="1" x14ac:dyDescent="0.25">
      <c r="A209" s="26"/>
      <c r="B209" s="29"/>
      <c r="C209" s="27"/>
      <c r="D209" s="5"/>
      <c r="E209" s="23"/>
      <c r="F209" s="25"/>
      <c r="G209" s="17"/>
      <c r="H209" s="16"/>
      <c r="I209" s="17"/>
      <c r="J209" s="24"/>
    </row>
    <row r="210" spans="1:10" s="73" customFormat="1" ht="14.45" customHeight="1" x14ac:dyDescent="0.25">
      <c r="A210" s="26"/>
      <c r="B210" s="29"/>
      <c r="C210" s="27"/>
      <c r="D210" s="5"/>
      <c r="E210" s="23"/>
      <c r="F210" s="25"/>
      <c r="G210" s="17"/>
      <c r="H210" s="16"/>
      <c r="I210" s="17"/>
      <c r="J210" s="24"/>
    </row>
    <row r="211" spans="1:10" s="73" customFormat="1" ht="14.45" customHeight="1" x14ac:dyDescent="0.25">
      <c r="A211" s="26"/>
      <c r="B211" s="29"/>
      <c r="C211" s="27"/>
      <c r="D211" s="5"/>
      <c r="E211" s="23"/>
      <c r="F211" s="25"/>
      <c r="G211" s="17"/>
      <c r="H211" s="16"/>
      <c r="I211" s="17"/>
      <c r="J211" s="24"/>
    </row>
    <row r="212" spans="1:10" s="73" customFormat="1" ht="14.45" customHeight="1" x14ac:dyDescent="0.25">
      <c r="A212" s="26"/>
      <c r="B212" s="29"/>
      <c r="C212" s="35"/>
      <c r="D212" s="5"/>
      <c r="E212" s="23"/>
      <c r="F212" s="25"/>
      <c r="G212" s="17"/>
      <c r="H212" s="16"/>
      <c r="I212" s="17"/>
      <c r="J212" s="24"/>
    </row>
    <row r="213" spans="1:10" s="73" customFormat="1" ht="14.45" customHeight="1" x14ac:dyDescent="0.25">
      <c r="A213" s="26"/>
      <c r="B213" s="29"/>
      <c r="C213" s="35"/>
      <c r="D213" s="5"/>
      <c r="E213" s="23"/>
      <c r="F213" s="25"/>
      <c r="G213" s="17"/>
      <c r="H213" s="16"/>
      <c r="I213" s="17"/>
      <c r="J213" s="24"/>
    </row>
    <row r="214" spans="1:10" s="73" customFormat="1" ht="14.45" customHeight="1" x14ac:dyDescent="0.25">
      <c r="A214" s="26"/>
      <c r="B214" s="29"/>
      <c r="C214" s="27"/>
      <c r="D214" s="5"/>
      <c r="E214" s="23"/>
      <c r="F214" s="25"/>
      <c r="G214" s="17"/>
      <c r="H214" s="16"/>
      <c r="I214" s="17"/>
      <c r="J214" s="24"/>
    </row>
    <row r="215" spans="1:10" s="73" customFormat="1" ht="14.45" customHeight="1" x14ac:dyDescent="0.25">
      <c r="A215" s="44"/>
      <c r="B215" s="29"/>
      <c r="C215" s="27"/>
      <c r="D215" s="37"/>
      <c r="E215" s="23"/>
      <c r="F215" s="25"/>
      <c r="G215" s="17"/>
      <c r="H215" s="16"/>
      <c r="I215" s="17"/>
      <c r="J215" s="24"/>
    </row>
    <row r="216" spans="1:10" s="73" customFormat="1" ht="14.45" customHeight="1" x14ac:dyDescent="0.25">
      <c r="A216" s="26"/>
      <c r="B216" s="29"/>
      <c r="C216" s="35"/>
      <c r="D216" s="5"/>
      <c r="E216" s="23"/>
      <c r="F216" s="25"/>
      <c r="G216" s="17"/>
      <c r="H216" s="16"/>
      <c r="I216" s="17"/>
      <c r="J216" s="24"/>
    </row>
    <row r="217" spans="1:10" s="73" customFormat="1" ht="14.45" customHeight="1" x14ac:dyDescent="0.25">
      <c r="A217" s="26"/>
      <c r="B217" s="29"/>
      <c r="C217" s="27"/>
      <c r="D217" s="37"/>
      <c r="E217" s="23"/>
      <c r="F217" s="25"/>
      <c r="G217" s="17"/>
      <c r="H217" s="16"/>
      <c r="I217" s="17"/>
      <c r="J217" s="24"/>
    </row>
    <row r="218" spans="1:10" s="73" customFormat="1" ht="14.45" customHeight="1" x14ac:dyDescent="0.25">
      <c r="A218" s="26"/>
      <c r="B218" s="29"/>
      <c r="C218" s="27"/>
      <c r="D218" s="5"/>
      <c r="E218" s="23"/>
      <c r="F218" s="25"/>
      <c r="G218" s="17"/>
      <c r="H218" s="16"/>
      <c r="I218" s="17"/>
      <c r="J218" s="24"/>
    </row>
    <row r="219" spans="1:10" s="73" customFormat="1" ht="14.45" customHeight="1" x14ac:dyDescent="0.25">
      <c r="A219" s="26"/>
      <c r="B219" s="29"/>
      <c r="C219" s="27"/>
      <c r="D219" s="5"/>
      <c r="E219" s="23"/>
      <c r="F219" s="25"/>
      <c r="G219" s="17"/>
      <c r="H219" s="16"/>
      <c r="I219" s="17"/>
      <c r="J219" s="24"/>
    </row>
    <row r="220" spans="1:10" s="73" customFormat="1" ht="14.45" customHeight="1" x14ac:dyDescent="0.25">
      <c r="A220" s="26"/>
      <c r="B220" s="29"/>
      <c r="C220" s="27"/>
      <c r="D220" s="5"/>
      <c r="E220" s="23"/>
      <c r="F220" s="25"/>
      <c r="G220" s="17"/>
      <c r="H220" s="16"/>
      <c r="I220" s="17"/>
      <c r="J220" s="24"/>
    </row>
    <row r="221" spans="1:10" s="73" customFormat="1" ht="14.45" customHeight="1" x14ac:dyDescent="0.25">
      <c r="A221" s="26"/>
      <c r="B221" s="29"/>
      <c r="C221" s="27"/>
      <c r="D221" s="5"/>
      <c r="E221" s="23"/>
      <c r="F221" s="25"/>
      <c r="G221" s="17"/>
      <c r="H221" s="16"/>
      <c r="I221" s="17"/>
      <c r="J221" s="24"/>
    </row>
    <row r="222" spans="1:10" s="73" customFormat="1" ht="14.45" customHeight="1" x14ac:dyDescent="0.25">
      <c r="A222" s="26"/>
      <c r="B222" s="29"/>
      <c r="C222" s="27"/>
      <c r="D222" s="5"/>
      <c r="E222" s="23"/>
      <c r="F222" s="25"/>
      <c r="G222" s="17"/>
      <c r="H222" s="16"/>
      <c r="I222" s="17"/>
      <c r="J222" s="24"/>
    </row>
    <row r="223" spans="1:10" s="73" customFormat="1" ht="14.45" customHeight="1" x14ac:dyDescent="0.25">
      <c r="A223" s="26"/>
      <c r="B223" s="29"/>
      <c r="C223" s="27"/>
      <c r="D223" s="5"/>
      <c r="E223" s="23"/>
      <c r="F223" s="25"/>
      <c r="G223" s="17"/>
      <c r="H223" s="16"/>
      <c r="I223" s="17"/>
      <c r="J223" s="24"/>
    </row>
    <row r="224" spans="1:10" s="73" customFormat="1" ht="14.45" customHeight="1" x14ac:dyDescent="0.25">
      <c r="A224" s="26"/>
      <c r="B224" s="29"/>
      <c r="C224" s="27"/>
      <c r="D224" s="5"/>
      <c r="E224" s="23"/>
      <c r="F224" s="25"/>
      <c r="G224" s="17"/>
      <c r="H224" s="16"/>
      <c r="I224" s="17"/>
      <c r="J224" s="24"/>
    </row>
    <row r="225" spans="1:10" s="73" customFormat="1" ht="14.45" customHeight="1" x14ac:dyDescent="0.25">
      <c r="A225" s="26"/>
      <c r="B225" s="29"/>
      <c r="C225" s="27"/>
      <c r="D225" s="5"/>
      <c r="E225" s="23"/>
      <c r="F225" s="25"/>
      <c r="G225" s="17"/>
      <c r="H225" s="16"/>
      <c r="I225" s="33"/>
      <c r="J225" s="24"/>
    </row>
    <row r="226" spans="1:10" s="73" customFormat="1" ht="14.45" customHeight="1" x14ac:dyDescent="0.25">
      <c r="A226" s="26"/>
      <c r="B226" s="29"/>
      <c r="C226" s="27"/>
      <c r="D226" s="5"/>
      <c r="E226" s="23"/>
      <c r="F226" s="25"/>
      <c r="G226" s="17"/>
      <c r="H226" s="16"/>
      <c r="I226" s="17"/>
      <c r="J226" s="24"/>
    </row>
    <row r="227" spans="1:10" s="73" customFormat="1" ht="14.45" customHeight="1" x14ac:dyDescent="0.25">
      <c r="A227" s="26"/>
      <c r="B227" s="29"/>
      <c r="C227" s="34"/>
      <c r="D227" s="5"/>
      <c r="E227" s="23"/>
      <c r="F227" s="25"/>
      <c r="G227" s="17"/>
      <c r="H227" s="16"/>
      <c r="I227" s="17"/>
      <c r="J227" s="24"/>
    </row>
    <row r="228" spans="1:10" s="73" customFormat="1" ht="14.45" customHeight="1" x14ac:dyDescent="0.25">
      <c r="A228" s="26"/>
      <c r="B228" s="29"/>
      <c r="C228" s="27"/>
      <c r="D228" s="5"/>
      <c r="E228" s="23"/>
      <c r="F228" s="25"/>
      <c r="G228" s="17"/>
      <c r="H228" s="16"/>
      <c r="I228" s="17"/>
      <c r="J228" s="24"/>
    </row>
    <row r="229" spans="1:10" s="73" customFormat="1" ht="14.45" customHeight="1" x14ac:dyDescent="0.25">
      <c r="A229" s="26"/>
      <c r="B229" s="29"/>
      <c r="C229" s="27"/>
      <c r="D229" s="5"/>
      <c r="E229" s="23"/>
      <c r="F229" s="25"/>
      <c r="G229" s="17"/>
      <c r="H229" s="16"/>
      <c r="I229" s="17"/>
      <c r="J229" s="24"/>
    </row>
    <row r="230" spans="1:10" s="73" customFormat="1" ht="14.45" customHeight="1" x14ac:dyDescent="0.25">
      <c r="A230" s="26"/>
      <c r="B230" s="29"/>
      <c r="C230" s="27"/>
      <c r="D230" s="5"/>
      <c r="E230" s="23"/>
      <c r="F230" s="25"/>
      <c r="G230" s="17"/>
      <c r="H230" s="16"/>
      <c r="I230" s="17"/>
      <c r="J230" s="24"/>
    </row>
    <row r="231" spans="1:10" s="73" customFormat="1" ht="14.45" customHeight="1" x14ac:dyDescent="0.25">
      <c r="A231" s="26"/>
      <c r="B231" s="29"/>
      <c r="C231" s="27"/>
      <c r="D231" s="5"/>
      <c r="E231" s="23"/>
      <c r="F231" s="25"/>
      <c r="G231" s="17"/>
      <c r="H231" s="16"/>
      <c r="I231" s="17"/>
      <c r="J231" s="24"/>
    </row>
    <row r="232" spans="1:10" s="73" customFormat="1" ht="14.45" customHeight="1" x14ac:dyDescent="0.25">
      <c r="A232" s="26"/>
      <c r="B232" s="29"/>
      <c r="C232" s="27"/>
      <c r="D232" s="5"/>
      <c r="E232" s="23"/>
      <c r="F232" s="25"/>
      <c r="G232" s="17"/>
      <c r="H232" s="16"/>
      <c r="I232" s="17"/>
      <c r="J232" s="24"/>
    </row>
    <row r="233" spans="1:10" s="73" customFormat="1" ht="14.45" customHeight="1" x14ac:dyDescent="0.25">
      <c r="A233" s="44"/>
      <c r="B233" s="29"/>
      <c r="C233" s="35"/>
      <c r="D233" s="5"/>
      <c r="E233" s="23"/>
      <c r="F233" s="25"/>
      <c r="G233" s="17"/>
      <c r="H233" s="16"/>
      <c r="I233" s="17"/>
      <c r="J233" s="24"/>
    </row>
    <row r="234" spans="1:10" s="73" customFormat="1" ht="14.45" customHeight="1" x14ac:dyDescent="0.25">
      <c r="A234" s="26"/>
      <c r="B234" s="29"/>
      <c r="C234" s="35"/>
      <c r="D234" s="36"/>
      <c r="E234" s="23"/>
      <c r="F234" s="25"/>
      <c r="G234" s="17"/>
      <c r="H234" s="16"/>
      <c r="I234" s="17"/>
      <c r="J234" s="24"/>
    </row>
    <row r="235" spans="1:10" s="73" customFormat="1" ht="14.45" customHeight="1" x14ac:dyDescent="0.25">
      <c r="A235" s="26"/>
      <c r="B235" s="29"/>
      <c r="C235" s="35"/>
      <c r="D235" s="36"/>
      <c r="E235" s="23"/>
      <c r="F235" s="25"/>
      <c r="G235" s="17"/>
      <c r="H235" s="16"/>
      <c r="I235" s="17"/>
      <c r="J235" s="24"/>
    </row>
    <row r="236" spans="1:10" s="73" customFormat="1" ht="14.45" customHeight="1" x14ac:dyDescent="0.25">
      <c r="A236" s="26"/>
      <c r="B236" s="29"/>
      <c r="C236" s="27"/>
      <c r="D236" s="5"/>
      <c r="E236" s="23"/>
      <c r="F236" s="25"/>
      <c r="G236" s="17"/>
      <c r="H236" s="16"/>
      <c r="I236" s="17"/>
      <c r="J236" s="24"/>
    </row>
    <row r="237" spans="1:10" s="73" customFormat="1" ht="14.45" customHeight="1" x14ac:dyDescent="0.25">
      <c r="A237" s="26"/>
      <c r="B237" s="29"/>
      <c r="C237" s="27"/>
      <c r="D237" s="5"/>
      <c r="E237" s="23"/>
      <c r="F237" s="25"/>
      <c r="G237" s="17"/>
      <c r="H237" s="16"/>
      <c r="I237" s="17"/>
      <c r="J237" s="24"/>
    </row>
    <row r="238" spans="1:10" s="73" customFormat="1" ht="14.45" customHeight="1" x14ac:dyDescent="0.25">
      <c r="A238" s="26"/>
      <c r="B238" s="29"/>
      <c r="C238" s="27"/>
      <c r="D238" s="5"/>
      <c r="E238" s="23"/>
      <c r="F238" s="25"/>
      <c r="G238" s="17"/>
      <c r="H238" s="16"/>
      <c r="I238" s="17"/>
      <c r="J238" s="24"/>
    </row>
    <row r="239" spans="1:10" s="73" customFormat="1" ht="14.45" customHeight="1" x14ac:dyDescent="0.25">
      <c r="A239" s="26"/>
      <c r="B239" s="29"/>
      <c r="C239" s="27"/>
      <c r="D239" s="5"/>
      <c r="E239" s="23"/>
      <c r="F239" s="25"/>
      <c r="G239" s="17"/>
      <c r="H239" s="16"/>
      <c r="I239" s="17"/>
      <c r="J239" s="24"/>
    </row>
    <row r="240" spans="1:10" s="73" customFormat="1" ht="14.45" customHeight="1" x14ac:dyDescent="0.25">
      <c r="A240" s="26"/>
      <c r="B240" s="29"/>
      <c r="C240" s="27"/>
      <c r="D240" s="5"/>
      <c r="E240" s="23"/>
      <c r="F240" s="25"/>
      <c r="G240" s="17"/>
      <c r="H240" s="16"/>
      <c r="I240" s="17"/>
      <c r="J240" s="24"/>
    </row>
    <row r="241" spans="1:10" s="73" customFormat="1" ht="14.45" customHeight="1" x14ac:dyDescent="0.25">
      <c r="A241" s="44"/>
      <c r="B241" s="29"/>
      <c r="C241" s="35"/>
      <c r="D241" s="5"/>
      <c r="E241" s="23"/>
      <c r="F241" s="25"/>
      <c r="G241" s="17"/>
      <c r="H241" s="16"/>
      <c r="I241" s="17"/>
      <c r="J241" s="24"/>
    </row>
    <row r="242" spans="1:10" s="73" customFormat="1" ht="14.45" customHeight="1" x14ac:dyDescent="0.25">
      <c r="A242" s="26"/>
      <c r="B242" s="29"/>
      <c r="C242" s="27"/>
      <c r="D242" s="5"/>
      <c r="E242" s="23"/>
      <c r="F242" s="25"/>
      <c r="G242" s="17"/>
      <c r="H242" s="16"/>
      <c r="I242" s="17"/>
      <c r="J242" s="24"/>
    </row>
    <row r="243" spans="1:10" s="73" customFormat="1" ht="14.45" customHeight="1" x14ac:dyDescent="0.25">
      <c r="A243" s="26"/>
      <c r="B243" s="29"/>
      <c r="C243" s="27"/>
      <c r="D243" s="5"/>
      <c r="E243" s="23"/>
      <c r="F243" s="25"/>
      <c r="G243" s="17"/>
      <c r="H243" s="16"/>
      <c r="I243" s="33"/>
      <c r="J243" s="24"/>
    </row>
    <row r="244" spans="1:10" s="73" customFormat="1" ht="14.45" customHeight="1" x14ac:dyDescent="0.25">
      <c r="A244" s="26"/>
      <c r="B244" s="29"/>
      <c r="C244" s="27"/>
      <c r="D244" s="5"/>
      <c r="E244" s="23"/>
      <c r="F244" s="25"/>
      <c r="G244" s="17"/>
      <c r="H244" s="16"/>
      <c r="I244" s="17"/>
      <c r="J244" s="24"/>
    </row>
    <row r="245" spans="1:10" s="73" customFormat="1" ht="14.45" customHeight="1" x14ac:dyDescent="0.25">
      <c r="A245" s="44"/>
      <c r="B245" s="29"/>
      <c r="C245" s="35"/>
      <c r="D245" s="36"/>
      <c r="E245" s="23"/>
      <c r="F245" s="25"/>
      <c r="G245" s="17"/>
      <c r="H245" s="16"/>
      <c r="I245" s="17"/>
      <c r="J245" s="24"/>
    </row>
    <row r="246" spans="1:10" s="73" customFormat="1" ht="14.45" customHeight="1" x14ac:dyDescent="0.25">
      <c r="A246" s="26"/>
      <c r="B246" s="29"/>
      <c r="C246" s="27"/>
      <c r="D246" s="5"/>
      <c r="E246" s="23"/>
      <c r="F246" s="25"/>
      <c r="G246" s="17"/>
      <c r="H246" s="16"/>
      <c r="I246" s="17"/>
      <c r="J246" s="24"/>
    </row>
    <row r="247" spans="1:10" s="73" customFormat="1" ht="14.45" customHeight="1" x14ac:dyDescent="0.25">
      <c r="A247" s="26"/>
      <c r="B247" s="29"/>
      <c r="C247" s="27"/>
      <c r="D247" s="5"/>
      <c r="E247" s="23"/>
      <c r="F247" s="25"/>
      <c r="G247" s="17"/>
      <c r="H247" s="16"/>
      <c r="I247" s="17"/>
      <c r="J247" s="24"/>
    </row>
    <row r="248" spans="1:10" s="73" customFormat="1" ht="14.45" customHeight="1" x14ac:dyDescent="0.25">
      <c r="A248" s="26"/>
      <c r="B248" s="29"/>
      <c r="C248" s="27"/>
      <c r="D248" s="5"/>
      <c r="E248" s="23"/>
      <c r="F248" s="25"/>
      <c r="G248" s="17"/>
      <c r="H248" s="16"/>
      <c r="I248" s="17"/>
      <c r="J248" s="24"/>
    </row>
    <row r="249" spans="1:10" s="73" customFormat="1" ht="14.45" customHeight="1" x14ac:dyDescent="0.25">
      <c r="A249" s="26"/>
      <c r="B249" s="29"/>
      <c r="C249" s="27"/>
      <c r="D249" s="5"/>
      <c r="E249" s="23"/>
      <c r="F249" s="25"/>
      <c r="G249" s="17"/>
      <c r="H249" s="16"/>
      <c r="I249" s="17"/>
      <c r="J249" s="24"/>
    </row>
    <row r="250" spans="1:10" s="73" customFormat="1" ht="14.45" customHeight="1" x14ac:dyDescent="0.25">
      <c r="A250" s="26"/>
      <c r="B250" s="29"/>
      <c r="C250" s="27"/>
      <c r="D250" s="5"/>
      <c r="E250" s="23"/>
      <c r="F250" s="25"/>
      <c r="G250" s="17"/>
      <c r="H250" s="16"/>
      <c r="I250" s="17"/>
      <c r="J250" s="24"/>
    </row>
    <row r="251" spans="1:10" s="73" customFormat="1" ht="14.45" customHeight="1" x14ac:dyDescent="0.25">
      <c r="A251" s="26"/>
      <c r="B251" s="29"/>
      <c r="C251" s="27"/>
      <c r="D251" s="5"/>
      <c r="E251" s="23"/>
      <c r="F251" s="25"/>
      <c r="G251" s="17"/>
      <c r="H251" s="16"/>
      <c r="I251" s="17"/>
      <c r="J251" s="24"/>
    </row>
    <row r="252" spans="1:10" s="73" customFormat="1" ht="14.45" customHeight="1" x14ac:dyDescent="0.25">
      <c r="A252" s="26"/>
      <c r="B252" s="29"/>
      <c r="C252" s="27"/>
      <c r="D252" s="5"/>
      <c r="E252" s="23"/>
      <c r="F252" s="25"/>
      <c r="G252" s="17"/>
      <c r="H252" s="16"/>
      <c r="I252" s="17"/>
      <c r="J252" s="24"/>
    </row>
    <row r="253" spans="1:10" s="73" customFormat="1" ht="14.45" customHeight="1" x14ac:dyDescent="0.25">
      <c r="A253" s="26"/>
      <c r="B253" s="29"/>
      <c r="C253" s="27"/>
      <c r="D253" s="5"/>
      <c r="E253" s="23"/>
      <c r="F253" s="25"/>
      <c r="G253" s="17"/>
      <c r="H253" s="16"/>
      <c r="I253" s="17"/>
      <c r="J253" s="24"/>
    </row>
    <row r="254" spans="1:10" s="73" customFormat="1" ht="14.45" customHeight="1" x14ac:dyDescent="0.25">
      <c r="A254" s="26"/>
      <c r="B254" s="29"/>
      <c r="C254" s="27"/>
      <c r="D254" s="5"/>
      <c r="E254" s="23"/>
      <c r="F254" s="25"/>
      <c r="G254" s="17"/>
      <c r="H254" s="16"/>
      <c r="I254" s="17"/>
      <c r="J254" s="24"/>
    </row>
    <row r="255" spans="1:10" s="73" customFormat="1" ht="14.45" customHeight="1" x14ac:dyDescent="0.25">
      <c r="A255" s="26"/>
      <c r="B255" s="29"/>
      <c r="C255" s="27"/>
      <c r="D255" s="5"/>
      <c r="E255" s="23"/>
      <c r="F255" s="25"/>
      <c r="G255" s="17"/>
      <c r="H255" s="16"/>
      <c r="I255" s="17"/>
      <c r="J255" s="24"/>
    </row>
    <row r="256" spans="1:10" s="73" customFormat="1" ht="14.45" customHeight="1" x14ac:dyDescent="0.25">
      <c r="A256" s="26"/>
      <c r="B256" s="29"/>
      <c r="C256" s="27"/>
      <c r="D256" s="5"/>
      <c r="E256" s="23"/>
      <c r="F256" s="25"/>
      <c r="G256" s="17"/>
      <c r="H256" s="16"/>
      <c r="I256" s="17"/>
      <c r="J256" s="24"/>
    </row>
    <row r="257" spans="1:10" s="73" customFormat="1" ht="14.45" customHeight="1" x14ac:dyDescent="0.25">
      <c r="A257" s="48"/>
      <c r="B257" s="29"/>
      <c r="C257" s="27"/>
      <c r="D257" s="5"/>
      <c r="E257" s="23"/>
      <c r="F257" s="25"/>
      <c r="G257" s="17"/>
      <c r="H257" s="16"/>
      <c r="I257" s="17"/>
      <c r="J257" s="24"/>
    </row>
    <row r="258" spans="1:10" s="73" customFormat="1" ht="14.45" customHeight="1" x14ac:dyDescent="0.25">
      <c r="A258" s="26"/>
      <c r="B258" s="29"/>
      <c r="C258" s="27"/>
      <c r="D258" s="5"/>
      <c r="E258" s="23"/>
      <c r="F258" s="25"/>
      <c r="G258" s="17"/>
      <c r="H258" s="16"/>
      <c r="I258" s="17"/>
      <c r="J258" s="24"/>
    </row>
    <row r="259" spans="1:10" s="73" customFormat="1" ht="14.45" customHeight="1" x14ac:dyDescent="0.25">
      <c r="A259" s="26"/>
      <c r="B259" s="29"/>
      <c r="C259" s="27"/>
      <c r="D259" s="5"/>
      <c r="E259" s="23"/>
      <c r="F259" s="25"/>
      <c r="G259" s="17"/>
      <c r="H259" s="16"/>
      <c r="I259" s="17"/>
      <c r="J259" s="24"/>
    </row>
    <row r="260" spans="1:10" s="73" customFormat="1" ht="14.45" customHeight="1" x14ac:dyDescent="0.25">
      <c r="A260" s="26"/>
      <c r="B260" s="29"/>
      <c r="C260" s="27"/>
      <c r="D260" s="5"/>
      <c r="E260" s="23"/>
      <c r="F260" s="25"/>
      <c r="G260" s="17"/>
      <c r="H260" s="16"/>
      <c r="I260" s="17"/>
      <c r="J260" s="24"/>
    </row>
    <row r="261" spans="1:10" s="73" customFormat="1" ht="14.45" customHeight="1" x14ac:dyDescent="0.25">
      <c r="A261" s="26"/>
      <c r="B261" s="29"/>
      <c r="C261" s="27"/>
      <c r="D261" s="5"/>
      <c r="E261" s="23"/>
      <c r="F261" s="25"/>
      <c r="G261" s="17"/>
      <c r="H261" s="16"/>
      <c r="I261" s="17"/>
      <c r="J261" s="24"/>
    </row>
    <row r="262" spans="1:10" s="73" customFormat="1" ht="14.45" customHeight="1" x14ac:dyDescent="0.25">
      <c r="A262" s="26"/>
      <c r="B262" s="29"/>
      <c r="C262" s="27"/>
      <c r="D262" s="5"/>
      <c r="E262" s="23"/>
      <c r="F262" s="25"/>
      <c r="G262" s="17"/>
      <c r="H262" s="16"/>
      <c r="I262" s="17"/>
      <c r="J262" s="24"/>
    </row>
    <row r="263" spans="1:10" s="73" customFormat="1" ht="14.45" customHeight="1" x14ac:dyDescent="0.25">
      <c r="A263" s="44"/>
      <c r="B263" s="29"/>
      <c r="C263" s="35"/>
      <c r="D263" s="5"/>
      <c r="E263" s="23"/>
      <c r="F263" s="25"/>
      <c r="G263" s="17"/>
      <c r="H263" s="16"/>
      <c r="I263" s="17"/>
      <c r="J263" s="24"/>
    </row>
    <row r="264" spans="1:10" s="73" customFormat="1" ht="14.45" customHeight="1" x14ac:dyDescent="0.25">
      <c r="A264" s="26"/>
      <c r="B264" s="29"/>
      <c r="C264" s="27"/>
      <c r="D264" s="5"/>
      <c r="E264" s="23"/>
      <c r="F264" s="25"/>
      <c r="G264" s="17"/>
      <c r="H264" s="16"/>
      <c r="I264" s="17"/>
      <c r="J264" s="24"/>
    </row>
    <row r="265" spans="1:10" s="73" customFormat="1" ht="14.45" customHeight="1" x14ac:dyDescent="0.25">
      <c r="A265" s="26"/>
      <c r="B265" s="29"/>
      <c r="C265" s="27"/>
      <c r="D265" s="5"/>
      <c r="E265" s="23"/>
      <c r="F265" s="25"/>
      <c r="G265" s="17"/>
      <c r="H265" s="16"/>
      <c r="I265" s="33"/>
      <c r="J265" s="24"/>
    </row>
    <row r="266" spans="1:10" s="73" customFormat="1" ht="14.45" customHeight="1" x14ac:dyDescent="0.25">
      <c r="A266" s="26"/>
      <c r="B266" s="29"/>
      <c r="C266" s="27"/>
      <c r="D266" s="5"/>
      <c r="E266" s="23"/>
      <c r="F266" s="25"/>
      <c r="G266" s="17"/>
      <c r="H266" s="16"/>
      <c r="I266" s="33"/>
      <c r="J266" s="24"/>
    </row>
    <row r="267" spans="1:10" s="73" customFormat="1" ht="14.45" customHeight="1" x14ac:dyDescent="0.25">
      <c r="A267" s="26"/>
      <c r="B267" s="29"/>
      <c r="C267" s="34"/>
      <c r="D267" s="5"/>
      <c r="E267" s="23"/>
      <c r="F267" s="25"/>
      <c r="G267" s="17"/>
      <c r="H267" s="16"/>
      <c r="I267" s="17"/>
      <c r="J267" s="24"/>
    </row>
    <row r="268" spans="1:10" s="73" customFormat="1" ht="14.45" customHeight="1" x14ac:dyDescent="0.25">
      <c r="A268" s="26"/>
      <c r="B268" s="29"/>
      <c r="C268" s="27"/>
      <c r="D268" s="5"/>
      <c r="E268" s="23"/>
      <c r="F268" s="25"/>
      <c r="G268" s="17"/>
      <c r="H268" s="16"/>
      <c r="I268" s="17"/>
      <c r="J268" s="24"/>
    </row>
    <row r="269" spans="1:10" s="73" customFormat="1" ht="14.45" customHeight="1" x14ac:dyDescent="0.25">
      <c r="A269" s="26"/>
      <c r="B269" s="29"/>
      <c r="C269" s="27"/>
      <c r="D269" s="5"/>
      <c r="E269" s="23"/>
      <c r="F269" s="25"/>
      <c r="G269" s="17"/>
      <c r="H269" s="16"/>
      <c r="I269" s="17"/>
      <c r="J269" s="24"/>
    </row>
    <row r="270" spans="1:10" s="73" customFormat="1" ht="14.45" customHeight="1" x14ac:dyDescent="0.25">
      <c r="A270" s="26"/>
      <c r="B270" s="29"/>
      <c r="C270" s="27"/>
      <c r="D270" s="5"/>
      <c r="E270" s="23"/>
      <c r="F270" s="25"/>
      <c r="G270" s="17"/>
      <c r="H270" s="16"/>
      <c r="I270" s="17"/>
      <c r="J270" s="24"/>
    </row>
    <row r="271" spans="1:10" s="73" customFormat="1" ht="14.45" customHeight="1" x14ac:dyDescent="0.25">
      <c r="A271" s="44"/>
      <c r="B271" s="29"/>
      <c r="C271" s="35"/>
      <c r="D271" s="36"/>
      <c r="E271" s="23"/>
      <c r="F271" s="25"/>
      <c r="G271" s="17"/>
      <c r="H271" s="16"/>
      <c r="I271" s="17"/>
      <c r="J271" s="24"/>
    </row>
    <row r="272" spans="1:10" s="73" customFormat="1" ht="14.45" customHeight="1" x14ac:dyDescent="0.25">
      <c r="A272" s="44"/>
      <c r="B272" s="29"/>
      <c r="C272" s="35"/>
      <c r="D272" s="36"/>
      <c r="E272" s="23"/>
      <c r="F272" s="25"/>
      <c r="G272" s="17"/>
      <c r="H272" s="16"/>
      <c r="I272" s="17"/>
      <c r="J272" s="24"/>
    </row>
    <row r="273" spans="1:10" s="73" customFormat="1" ht="14.45" customHeight="1" x14ac:dyDescent="0.25">
      <c r="A273" s="44"/>
      <c r="B273" s="29"/>
      <c r="C273" s="35"/>
      <c r="D273" s="36"/>
      <c r="E273" s="23"/>
      <c r="F273" s="25"/>
      <c r="G273" s="17"/>
      <c r="H273" s="16"/>
      <c r="I273" s="17"/>
      <c r="J273" s="24"/>
    </row>
    <row r="274" spans="1:10" s="73" customFormat="1" ht="14.45" customHeight="1" x14ac:dyDescent="0.25">
      <c r="A274" s="44"/>
      <c r="B274" s="29"/>
      <c r="C274" s="35"/>
      <c r="D274" s="36"/>
      <c r="E274" s="23"/>
      <c r="F274" s="25"/>
      <c r="G274" s="17"/>
      <c r="H274" s="16"/>
      <c r="I274" s="17"/>
      <c r="J274" s="24"/>
    </row>
    <row r="275" spans="1:10" s="73" customFormat="1" ht="14.45" customHeight="1" x14ac:dyDescent="0.25">
      <c r="A275" s="44"/>
      <c r="B275" s="29"/>
      <c r="C275" s="35"/>
      <c r="D275" s="36"/>
      <c r="E275" s="23"/>
      <c r="F275" s="25"/>
      <c r="G275" s="17"/>
      <c r="H275" s="16"/>
      <c r="I275" s="17"/>
      <c r="J275" s="24"/>
    </row>
    <row r="276" spans="1:10" s="73" customFormat="1" ht="14.45" customHeight="1" x14ac:dyDescent="0.25">
      <c r="A276" s="44"/>
      <c r="B276" s="29"/>
      <c r="C276" s="27"/>
      <c r="D276" s="5"/>
      <c r="E276" s="23"/>
      <c r="F276" s="25"/>
      <c r="G276" s="17"/>
      <c r="H276" s="16"/>
      <c r="I276" s="17"/>
      <c r="J276" s="24"/>
    </row>
    <row r="277" spans="1:10" s="73" customFormat="1" ht="14.45" customHeight="1" x14ac:dyDescent="0.25">
      <c r="A277" s="44"/>
      <c r="B277" s="29"/>
      <c r="C277" s="27"/>
      <c r="D277" s="5"/>
      <c r="E277" s="23"/>
      <c r="F277" s="25"/>
      <c r="G277" s="17"/>
      <c r="H277" s="16"/>
      <c r="I277" s="17"/>
      <c r="J277" s="24"/>
    </row>
    <row r="278" spans="1:10" s="73" customFormat="1" ht="14.45" customHeight="1" x14ac:dyDescent="0.25">
      <c r="A278" s="44"/>
      <c r="B278" s="29"/>
      <c r="C278" s="35"/>
      <c r="D278" s="36"/>
      <c r="E278" s="23"/>
      <c r="F278" s="25"/>
      <c r="G278" s="17"/>
      <c r="H278" s="16"/>
      <c r="I278" s="17"/>
      <c r="J278" s="24"/>
    </row>
    <row r="279" spans="1:10" s="73" customFormat="1" ht="14.45" customHeight="1" x14ac:dyDescent="0.25">
      <c r="A279" s="26"/>
      <c r="B279" s="29"/>
      <c r="C279" s="27"/>
      <c r="D279" s="42"/>
      <c r="E279" s="23"/>
      <c r="F279" s="25"/>
      <c r="G279" s="17"/>
      <c r="H279" s="16"/>
      <c r="I279" s="17"/>
      <c r="J279" s="24"/>
    </row>
    <row r="280" spans="1:10" s="73" customFormat="1" ht="14.45" customHeight="1" x14ac:dyDescent="0.25">
      <c r="A280" s="26"/>
      <c r="B280" s="29"/>
      <c r="C280" s="28"/>
      <c r="D280" s="16"/>
      <c r="E280" s="23"/>
      <c r="F280" s="23"/>
      <c r="G280" s="24"/>
      <c r="H280" s="16"/>
      <c r="I280" s="24"/>
      <c r="J280" s="24"/>
    </row>
    <row r="281" spans="1:10" s="73" customFormat="1" ht="14.45" customHeight="1" x14ac:dyDescent="0.25">
      <c r="A281" s="26"/>
      <c r="B281" s="29"/>
      <c r="C281" s="28"/>
      <c r="D281" s="16"/>
      <c r="E281" s="23"/>
      <c r="F281" s="23"/>
      <c r="G281" s="24"/>
      <c r="H281" s="16"/>
      <c r="I281" s="24"/>
      <c r="J281" s="24"/>
    </row>
    <row r="282" spans="1:10" s="73" customFormat="1" ht="14.45" customHeight="1" x14ac:dyDescent="0.25">
      <c r="A282" s="26"/>
      <c r="B282" s="29"/>
      <c r="C282" s="27"/>
      <c r="D282" s="5"/>
      <c r="E282" s="23"/>
      <c r="F282" s="23"/>
      <c r="G282" s="17"/>
      <c r="H282" s="16"/>
      <c r="I282" s="17"/>
      <c r="J282" s="24"/>
    </row>
    <row r="283" spans="1:10" s="73" customFormat="1" ht="14.45" customHeight="1" x14ac:dyDescent="0.25">
      <c r="A283" s="26"/>
      <c r="B283" s="29"/>
      <c r="C283" s="27"/>
      <c r="D283" s="5"/>
      <c r="E283" s="23"/>
      <c r="F283" s="23"/>
      <c r="G283" s="17"/>
      <c r="H283" s="16"/>
      <c r="I283" s="17"/>
      <c r="J283" s="24"/>
    </row>
    <row r="284" spans="1:10" s="73" customFormat="1" ht="14.45" customHeight="1" x14ac:dyDescent="0.25">
      <c r="A284" s="26"/>
      <c r="B284" s="29"/>
      <c r="C284" s="27"/>
      <c r="D284" s="5"/>
      <c r="E284" s="23"/>
      <c r="F284" s="23"/>
      <c r="G284" s="17"/>
      <c r="H284" s="16"/>
      <c r="I284" s="17"/>
      <c r="J284" s="24"/>
    </row>
    <row r="285" spans="1:10" s="73" customFormat="1" ht="14.45" customHeight="1" x14ac:dyDescent="0.25">
      <c r="A285" s="26"/>
      <c r="B285" s="29"/>
      <c r="C285" s="27"/>
      <c r="D285" s="5"/>
      <c r="E285" s="23"/>
      <c r="F285" s="23"/>
      <c r="G285" s="17"/>
      <c r="H285" s="16"/>
      <c r="I285" s="17"/>
      <c r="J285" s="24"/>
    </row>
    <row r="286" spans="1:10" s="73" customFormat="1" ht="14.45" customHeight="1" x14ac:dyDescent="0.25">
      <c r="A286" s="26"/>
      <c r="B286" s="29"/>
      <c r="C286" s="28"/>
      <c r="D286" s="16"/>
      <c r="E286" s="23"/>
      <c r="F286" s="23"/>
      <c r="G286" s="24"/>
      <c r="H286" s="16"/>
      <c r="I286" s="24"/>
      <c r="J286" s="24"/>
    </row>
    <row r="287" spans="1:10" s="73" customFormat="1" ht="15" customHeight="1" x14ac:dyDescent="0.25">
      <c r="A287" s="26"/>
      <c r="B287" s="29"/>
      <c r="C287" s="35"/>
      <c r="D287" s="5"/>
      <c r="E287" s="23"/>
      <c r="F287" s="25"/>
      <c r="G287" s="17"/>
      <c r="H287" s="16"/>
      <c r="I287" s="17"/>
      <c r="J287" s="24"/>
    </row>
    <row r="288" spans="1:10" s="73" customFormat="1" x14ac:dyDescent="0.25">
      <c r="A288" s="39" t="s">
        <v>21</v>
      </c>
      <c r="B288" s="40"/>
      <c r="C288" s="76"/>
      <c r="D288" s="74"/>
      <c r="E288" s="69"/>
      <c r="F288" s="70">
        <f>SUBTOTAL(109,Tableau1[Estimation])</f>
        <v>59</v>
      </c>
      <c r="G288" s="71"/>
      <c r="H288" s="72"/>
      <c r="I288" s="71"/>
      <c r="J288" s="73">
        <f>SUBTOTAL(103,Tableau1[Bug])</f>
        <v>0</v>
      </c>
    </row>
    <row r="289" spans="1:8" s="73" customFormat="1" x14ac:dyDescent="0.25">
      <c r="A289" s="67"/>
      <c r="B289" s="68"/>
      <c r="C289" s="75"/>
      <c r="D289" s="72"/>
      <c r="E289" s="69"/>
      <c r="F289" s="69"/>
      <c r="H289" s="72"/>
    </row>
    <row r="290" spans="1:8" s="73" customFormat="1" x14ac:dyDescent="0.25">
      <c r="A290" s="67"/>
      <c r="B290" s="68"/>
      <c r="C290" s="75"/>
      <c r="D290" s="72"/>
      <c r="E290" s="69"/>
      <c r="F290" s="69"/>
      <c r="H290" s="72"/>
    </row>
    <row r="291" spans="1:8" s="73" customFormat="1" x14ac:dyDescent="0.25">
      <c r="A291" s="67"/>
      <c r="B291" s="68"/>
      <c r="C291" s="75"/>
      <c r="D291" s="72"/>
      <c r="E291" s="69"/>
      <c r="F291" s="69"/>
      <c r="H291" s="72"/>
    </row>
    <row r="292" spans="1:8" s="73" customFormat="1" x14ac:dyDescent="0.25">
      <c r="A292" s="67"/>
      <c r="B292" s="68"/>
      <c r="C292" s="75"/>
      <c r="D292" s="72"/>
      <c r="E292" s="69"/>
      <c r="F292" s="69"/>
      <c r="H292" s="72"/>
    </row>
    <row r="293" spans="1:8" s="73" customFormat="1" x14ac:dyDescent="0.25">
      <c r="A293" s="67"/>
      <c r="B293" s="68"/>
      <c r="C293" s="75"/>
      <c r="D293" s="72"/>
      <c r="E293" s="69"/>
      <c r="F293" s="69"/>
      <c r="H293" s="72"/>
    </row>
    <row r="294" spans="1:8" s="73" customFormat="1" x14ac:dyDescent="0.25">
      <c r="A294" s="67"/>
      <c r="B294" s="68"/>
      <c r="C294" s="75"/>
      <c r="D294" s="72"/>
      <c r="E294" s="69"/>
      <c r="F294" s="69"/>
      <c r="H294" s="72"/>
    </row>
    <row r="295" spans="1:8" s="73" customFormat="1" x14ac:dyDescent="0.25">
      <c r="A295" s="67"/>
      <c r="B295" s="68"/>
      <c r="C295" s="75"/>
      <c r="D295" s="72"/>
      <c r="E295" s="69"/>
      <c r="F295" s="69"/>
      <c r="H295" s="72"/>
    </row>
    <row r="296" spans="1:8" s="73" customFormat="1" x14ac:dyDescent="0.25">
      <c r="A296" s="67"/>
      <c r="B296" s="68"/>
      <c r="C296" s="75"/>
      <c r="D296" s="72"/>
      <c r="E296" s="69"/>
      <c r="F296" s="69"/>
      <c r="H296" s="72"/>
    </row>
    <row r="297" spans="1:8" s="73" customFormat="1" x14ac:dyDescent="0.25">
      <c r="A297" s="67"/>
      <c r="B297" s="68"/>
      <c r="C297" s="75"/>
      <c r="D297" s="72"/>
      <c r="E297" s="69"/>
      <c r="F297" s="69"/>
      <c r="H297" s="72"/>
    </row>
    <row r="298" spans="1:8" s="73" customFormat="1" x14ac:dyDescent="0.25">
      <c r="A298" s="67"/>
      <c r="B298" s="68"/>
      <c r="C298" s="75"/>
      <c r="D298" s="72"/>
      <c r="E298" s="69"/>
      <c r="F298" s="69"/>
      <c r="H298" s="72"/>
    </row>
    <row r="299" spans="1:8" s="73" customFormat="1" x14ac:dyDescent="0.25">
      <c r="A299" s="67"/>
      <c r="B299" s="68"/>
      <c r="C299" s="75"/>
      <c r="D299" s="72"/>
      <c r="E299" s="69"/>
      <c r="F299" s="69"/>
      <c r="H299" s="72"/>
    </row>
    <row r="300" spans="1:8" s="73" customFormat="1" x14ac:dyDescent="0.25">
      <c r="A300" s="67"/>
      <c r="B300" s="68"/>
      <c r="C300" s="75"/>
      <c r="D300" s="72"/>
      <c r="E300" s="69"/>
      <c r="F300" s="69"/>
      <c r="H300" s="72"/>
    </row>
    <row r="301" spans="1:8" s="73" customFormat="1" x14ac:dyDescent="0.25">
      <c r="A301" s="67"/>
      <c r="B301" s="68"/>
      <c r="C301" s="75"/>
      <c r="D301" s="72"/>
      <c r="E301" s="69"/>
      <c r="F301" s="69"/>
      <c r="H301" s="72"/>
    </row>
    <row r="302" spans="1:8" s="73" customFormat="1" x14ac:dyDescent="0.25">
      <c r="A302" s="67"/>
      <c r="B302" s="68"/>
      <c r="C302" s="75"/>
      <c r="D302" s="72"/>
      <c r="E302" s="69"/>
      <c r="F302" s="69"/>
      <c r="H302" s="72"/>
    </row>
    <row r="303" spans="1:8" s="73" customFormat="1" x14ac:dyDescent="0.25">
      <c r="A303" s="67"/>
      <c r="B303" s="68"/>
      <c r="C303" s="75"/>
      <c r="D303" s="72"/>
      <c r="E303" s="69"/>
      <c r="F303" s="69"/>
      <c r="H303" s="72"/>
    </row>
    <row r="304" spans="1:8" s="73" customFormat="1" x14ac:dyDescent="0.25">
      <c r="A304" s="67"/>
      <c r="B304" s="68"/>
      <c r="C304" s="75"/>
      <c r="D304" s="72"/>
      <c r="E304" s="69"/>
      <c r="F304" s="69"/>
      <c r="H304" s="72"/>
    </row>
    <row r="305" spans="1:8" s="73" customFormat="1" x14ac:dyDescent="0.25">
      <c r="A305" s="67"/>
      <c r="B305" s="68"/>
      <c r="C305" s="75"/>
      <c r="D305" s="72"/>
      <c r="E305" s="69"/>
      <c r="F305" s="69"/>
      <c r="H305" s="72"/>
    </row>
    <row r="306" spans="1:8" s="73" customFormat="1" x14ac:dyDescent="0.25">
      <c r="A306" s="67"/>
      <c r="B306" s="68"/>
      <c r="C306" s="75"/>
      <c r="D306" s="72"/>
      <c r="E306" s="69"/>
      <c r="F306" s="69"/>
      <c r="H306" s="72"/>
    </row>
    <row r="307" spans="1:8" s="73" customFormat="1" x14ac:dyDescent="0.25">
      <c r="A307" s="67"/>
      <c r="B307" s="68"/>
      <c r="C307" s="75"/>
      <c r="D307" s="72"/>
      <c r="E307" s="69"/>
      <c r="F307" s="69"/>
      <c r="H307" s="72"/>
    </row>
    <row r="308" spans="1:8" s="73" customFormat="1" x14ac:dyDescent="0.25">
      <c r="A308" s="67"/>
      <c r="B308" s="68"/>
      <c r="C308" s="75"/>
      <c r="D308" s="72"/>
      <c r="E308" s="69"/>
      <c r="F308" s="69"/>
      <c r="H308" s="72"/>
    </row>
    <row r="309" spans="1:8" s="73" customFormat="1" x14ac:dyDescent="0.25">
      <c r="A309" s="67"/>
      <c r="B309" s="68"/>
      <c r="C309" s="75"/>
      <c r="D309" s="72"/>
      <c r="E309" s="69"/>
      <c r="F309" s="69"/>
      <c r="H309" s="72"/>
    </row>
    <row r="310" spans="1:8" s="73" customFormat="1" x14ac:dyDescent="0.25">
      <c r="A310" s="67"/>
      <c r="B310" s="68"/>
      <c r="C310" s="75"/>
      <c r="D310" s="72"/>
      <c r="E310" s="69"/>
      <c r="F310" s="69"/>
      <c r="H310" s="72"/>
    </row>
    <row r="311" spans="1:8" s="73" customFormat="1" x14ac:dyDescent="0.25">
      <c r="A311" s="67"/>
      <c r="B311" s="68"/>
      <c r="C311" s="75"/>
      <c r="D311" s="72"/>
      <c r="E311" s="69"/>
      <c r="F311" s="69"/>
      <c r="H311" s="72"/>
    </row>
    <row r="312" spans="1:8" s="73" customFormat="1" x14ac:dyDescent="0.25">
      <c r="A312" s="67"/>
      <c r="B312" s="68"/>
      <c r="C312" s="75"/>
      <c r="D312" s="72"/>
      <c r="E312" s="69"/>
      <c r="F312" s="69"/>
      <c r="H312" s="72"/>
    </row>
    <row r="313" spans="1:8" s="73" customFormat="1" x14ac:dyDescent="0.25">
      <c r="A313" s="67"/>
      <c r="B313" s="68"/>
      <c r="C313" s="75"/>
      <c r="D313" s="72"/>
      <c r="E313" s="69"/>
      <c r="F313" s="69"/>
      <c r="H313" s="72"/>
    </row>
    <row r="314" spans="1:8" s="73" customFormat="1" x14ac:dyDescent="0.25">
      <c r="A314" s="67"/>
      <c r="B314" s="68"/>
      <c r="C314" s="75"/>
      <c r="D314" s="72"/>
      <c r="E314" s="69"/>
      <c r="F314" s="69"/>
      <c r="H314" s="72"/>
    </row>
    <row r="315" spans="1:8" s="73" customFormat="1" x14ac:dyDescent="0.25">
      <c r="A315" s="67"/>
      <c r="B315" s="68"/>
      <c r="C315" s="75"/>
      <c r="D315" s="72"/>
      <c r="E315" s="69"/>
      <c r="F315" s="69"/>
      <c r="H315" s="72"/>
    </row>
    <row r="316" spans="1:8" s="73" customFormat="1" x14ac:dyDescent="0.25">
      <c r="A316" s="67"/>
      <c r="B316" s="68"/>
      <c r="C316" s="75"/>
      <c r="D316" s="72"/>
      <c r="E316" s="69"/>
      <c r="F316" s="69"/>
      <c r="H316" s="72"/>
    </row>
    <row r="317" spans="1:8" s="73" customFormat="1" x14ac:dyDescent="0.25">
      <c r="A317" s="67"/>
      <c r="B317" s="68"/>
      <c r="C317" s="75"/>
      <c r="D317" s="72"/>
      <c r="E317" s="69"/>
      <c r="F317" s="69"/>
      <c r="H317" s="72"/>
    </row>
    <row r="318" spans="1:8" s="73" customFormat="1" x14ac:dyDescent="0.25">
      <c r="A318" s="67"/>
      <c r="B318" s="68"/>
      <c r="C318" s="75"/>
      <c r="D318" s="72"/>
      <c r="E318" s="69"/>
      <c r="F318" s="69"/>
      <c r="H318" s="72"/>
    </row>
    <row r="319" spans="1:8" s="73" customFormat="1" x14ac:dyDescent="0.25">
      <c r="A319" s="67"/>
      <c r="B319" s="68"/>
      <c r="C319" s="75"/>
      <c r="D319" s="72"/>
      <c r="E319" s="69"/>
      <c r="F319" s="69"/>
      <c r="H319" s="72"/>
    </row>
    <row r="320" spans="1:8" s="73" customFormat="1" x14ac:dyDescent="0.25">
      <c r="A320" s="67"/>
      <c r="B320" s="68"/>
      <c r="C320" s="75"/>
      <c r="D320" s="72"/>
      <c r="E320" s="69"/>
      <c r="F320" s="69"/>
      <c r="H320" s="72"/>
    </row>
    <row r="321" spans="1:8" s="73" customFormat="1" x14ac:dyDescent="0.25">
      <c r="A321" s="67"/>
      <c r="B321" s="68"/>
      <c r="C321" s="75"/>
      <c r="D321" s="72"/>
      <c r="E321" s="69"/>
      <c r="F321" s="69"/>
      <c r="H321" s="72"/>
    </row>
    <row r="322" spans="1:8" s="73" customFormat="1" x14ac:dyDescent="0.25">
      <c r="A322" s="67"/>
      <c r="B322" s="68"/>
      <c r="C322" s="75"/>
      <c r="D322" s="72"/>
      <c r="E322" s="69"/>
      <c r="F322" s="69"/>
      <c r="H322" s="72"/>
    </row>
    <row r="323" spans="1:8" s="73" customFormat="1" x14ac:dyDescent="0.25">
      <c r="A323" s="67"/>
      <c r="B323" s="68"/>
      <c r="C323" s="75"/>
      <c r="D323" s="72"/>
      <c r="E323" s="69"/>
      <c r="F323" s="69"/>
      <c r="H323" s="72"/>
    </row>
    <row r="324" spans="1:8" s="73" customFormat="1" x14ac:dyDescent="0.25">
      <c r="A324" s="67"/>
      <c r="B324" s="68"/>
      <c r="C324" s="75"/>
      <c r="D324" s="72"/>
      <c r="E324" s="69"/>
      <c r="F324" s="69"/>
      <c r="H324" s="72"/>
    </row>
    <row r="325" spans="1:8" s="73" customFormat="1" x14ac:dyDescent="0.25">
      <c r="A325" s="67"/>
      <c r="B325" s="68"/>
      <c r="C325" s="75"/>
      <c r="D325" s="72"/>
      <c r="E325" s="69"/>
      <c r="F325" s="69"/>
      <c r="H325" s="72"/>
    </row>
    <row r="326" spans="1:8" s="73" customFormat="1" x14ac:dyDescent="0.25">
      <c r="A326" s="67"/>
      <c r="B326" s="68"/>
      <c r="C326" s="75"/>
      <c r="D326" s="72"/>
      <c r="E326" s="69"/>
      <c r="F326" s="69"/>
      <c r="H326" s="72"/>
    </row>
    <row r="327" spans="1:8" s="73" customFormat="1" x14ac:dyDescent="0.25">
      <c r="A327" s="67"/>
      <c r="B327" s="68"/>
      <c r="C327" s="75"/>
      <c r="D327" s="72"/>
      <c r="E327" s="69"/>
      <c r="F327" s="69"/>
      <c r="H327" s="72"/>
    </row>
    <row r="328" spans="1:8" s="73" customFormat="1" x14ac:dyDescent="0.25">
      <c r="A328" s="67"/>
      <c r="B328" s="68"/>
      <c r="C328" s="75"/>
      <c r="D328" s="72"/>
      <c r="E328" s="69"/>
      <c r="F328" s="69"/>
      <c r="H328" s="72"/>
    </row>
    <row r="329" spans="1:8" s="73" customFormat="1" x14ac:dyDescent="0.25">
      <c r="A329" s="67"/>
      <c r="B329" s="68"/>
      <c r="C329" s="75"/>
      <c r="D329" s="72"/>
      <c r="E329" s="69"/>
      <c r="F329" s="69"/>
      <c r="H329" s="72"/>
    </row>
    <row r="330" spans="1:8" s="73" customFormat="1" x14ac:dyDescent="0.25">
      <c r="A330" s="67"/>
      <c r="B330" s="68"/>
      <c r="C330" s="75"/>
      <c r="D330" s="72"/>
      <c r="E330" s="69"/>
      <c r="F330" s="69"/>
      <c r="H330" s="72"/>
    </row>
    <row r="331" spans="1:8" s="73" customFormat="1" x14ac:dyDescent="0.25">
      <c r="A331" s="67"/>
      <c r="B331" s="68"/>
      <c r="C331" s="75"/>
      <c r="D331" s="72"/>
      <c r="E331" s="69"/>
      <c r="F331" s="69"/>
      <c r="H331" s="72"/>
    </row>
    <row r="332" spans="1:8" s="73" customFormat="1" x14ac:dyDescent="0.25">
      <c r="A332" s="67"/>
      <c r="B332" s="68"/>
      <c r="C332" s="75"/>
      <c r="D332" s="72"/>
      <c r="E332" s="69"/>
      <c r="F332" s="69"/>
      <c r="H332" s="72"/>
    </row>
    <row r="333" spans="1:8" s="73" customFormat="1" x14ac:dyDescent="0.25">
      <c r="A333" s="67"/>
      <c r="B333" s="68"/>
      <c r="C333" s="75"/>
      <c r="D333" s="72"/>
      <c r="E333" s="69"/>
      <c r="F333" s="69"/>
      <c r="H333" s="72"/>
    </row>
    <row r="334" spans="1:8" s="73" customFormat="1" x14ac:dyDescent="0.25">
      <c r="A334" s="67"/>
      <c r="B334" s="68"/>
      <c r="C334" s="75"/>
      <c r="D334" s="72"/>
      <c r="E334" s="69"/>
      <c r="F334" s="69"/>
      <c r="H334" s="72"/>
    </row>
    <row r="335" spans="1:8" s="73" customFormat="1" x14ac:dyDescent="0.25">
      <c r="A335" s="67"/>
      <c r="B335" s="68"/>
      <c r="C335" s="75"/>
      <c r="D335" s="72"/>
      <c r="E335" s="69"/>
      <c r="F335" s="69"/>
      <c r="H335" s="72"/>
    </row>
    <row r="336" spans="1:8" s="73" customFormat="1" x14ac:dyDescent="0.25">
      <c r="A336" s="67"/>
      <c r="B336" s="68"/>
      <c r="C336" s="75"/>
      <c r="D336" s="72"/>
      <c r="E336" s="69"/>
      <c r="F336" s="69"/>
      <c r="H336" s="72"/>
    </row>
    <row r="337" spans="1:8" s="73" customFormat="1" x14ac:dyDescent="0.25">
      <c r="A337" s="67"/>
      <c r="B337" s="68"/>
      <c r="C337" s="75"/>
      <c r="D337" s="72"/>
      <c r="E337" s="69"/>
      <c r="F337" s="69"/>
      <c r="H337" s="72"/>
    </row>
    <row r="338" spans="1:8" s="73" customFormat="1" x14ac:dyDescent="0.25">
      <c r="A338" s="67"/>
      <c r="B338" s="68"/>
      <c r="C338" s="75"/>
      <c r="D338" s="72"/>
      <c r="E338" s="69"/>
      <c r="F338" s="69"/>
      <c r="H338" s="72"/>
    </row>
    <row r="339" spans="1:8" s="73" customFormat="1" x14ac:dyDescent="0.25">
      <c r="A339" s="67"/>
      <c r="B339" s="68"/>
      <c r="C339" s="75"/>
      <c r="D339" s="72"/>
      <c r="E339" s="69"/>
      <c r="F339" s="69"/>
      <c r="H339" s="72"/>
    </row>
    <row r="340" spans="1:8" s="73" customFormat="1" x14ac:dyDescent="0.25">
      <c r="A340" s="67"/>
      <c r="B340" s="68"/>
      <c r="C340" s="75"/>
      <c r="D340" s="72"/>
      <c r="E340" s="69"/>
      <c r="F340" s="69"/>
      <c r="H340" s="72"/>
    </row>
    <row r="341" spans="1:8" s="73" customFormat="1" x14ac:dyDescent="0.25">
      <c r="A341" s="67"/>
      <c r="B341" s="68"/>
      <c r="C341" s="75"/>
      <c r="D341" s="72"/>
      <c r="E341" s="69"/>
      <c r="F341" s="69"/>
      <c r="H341" s="72"/>
    </row>
    <row r="342" spans="1:8" s="73" customFormat="1" x14ac:dyDescent="0.25">
      <c r="A342" s="67"/>
      <c r="B342" s="68"/>
      <c r="C342" s="75"/>
      <c r="D342" s="72"/>
      <c r="E342" s="69"/>
      <c r="F342" s="69"/>
      <c r="H342" s="72"/>
    </row>
    <row r="343" spans="1:8" s="73" customFormat="1" x14ac:dyDescent="0.25">
      <c r="A343" s="67"/>
      <c r="B343" s="68"/>
      <c r="C343" s="75"/>
      <c r="D343" s="72"/>
      <c r="E343" s="69"/>
      <c r="F343" s="69"/>
      <c r="H343" s="72"/>
    </row>
    <row r="344" spans="1:8" s="73" customFormat="1" x14ac:dyDescent="0.25">
      <c r="A344" s="67"/>
      <c r="B344" s="68"/>
      <c r="C344" s="75"/>
      <c r="D344" s="72"/>
      <c r="E344" s="69"/>
      <c r="F344" s="69"/>
      <c r="H344" s="72"/>
    </row>
    <row r="345" spans="1:8" s="73" customFormat="1" x14ac:dyDescent="0.25">
      <c r="A345" s="67"/>
      <c r="B345" s="68"/>
      <c r="C345" s="75"/>
      <c r="D345" s="72"/>
      <c r="E345" s="69"/>
      <c r="F345" s="69"/>
      <c r="H345" s="72"/>
    </row>
    <row r="346" spans="1:8" s="73" customFormat="1" x14ac:dyDescent="0.25">
      <c r="A346" s="67"/>
      <c r="B346" s="68"/>
      <c r="C346" s="75"/>
      <c r="D346" s="72"/>
      <c r="E346" s="69"/>
      <c r="F346" s="69"/>
      <c r="H346" s="72"/>
    </row>
    <row r="347" spans="1:8" s="73" customFormat="1" x14ac:dyDescent="0.25">
      <c r="A347" s="67"/>
      <c r="B347" s="68"/>
      <c r="C347" s="75"/>
      <c r="D347" s="72"/>
      <c r="E347" s="69"/>
      <c r="F347" s="69"/>
      <c r="H347" s="72"/>
    </row>
    <row r="348" spans="1:8" s="73" customFormat="1" x14ac:dyDescent="0.25">
      <c r="A348" s="67"/>
      <c r="B348" s="68"/>
      <c r="C348" s="75"/>
      <c r="D348" s="72"/>
      <c r="E348" s="69"/>
      <c r="F348" s="69"/>
      <c r="H348" s="72"/>
    </row>
    <row r="349" spans="1:8" s="73" customFormat="1" x14ac:dyDescent="0.25">
      <c r="A349" s="67"/>
      <c r="B349" s="68"/>
      <c r="C349" s="75"/>
      <c r="D349" s="72"/>
      <c r="E349" s="69"/>
      <c r="F349" s="69"/>
      <c r="H349" s="72"/>
    </row>
    <row r="350" spans="1:8" s="73" customFormat="1" x14ac:dyDescent="0.25">
      <c r="A350" s="67"/>
      <c r="B350" s="68"/>
      <c r="C350" s="75"/>
      <c r="D350" s="72"/>
      <c r="E350" s="69"/>
      <c r="F350" s="69"/>
      <c r="H350" s="72"/>
    </row>
    <row r="351" spans="1:8" s="73" customFormat="1" x14ac:dyDescent="0.25">
      <c r="A351" s="67"/>
      <c r="B351" s="68"/>
      <c r="C351" s="75"/>
      <c r="D351" s="72"/>
      <c r="E351" s="69"/>
      <c r="F351" s="69"/>
      <c r="H351" s="72"/>
    </row>
    <row r="352" spans="1:8" s="73" customFormat="1" x14ac:dyDescent="0.25">
      <c r="A352" s="67"/>
      <c r="B352" s="68"/>
      <c r="C352" s="75"/>
      <c r="D352" s="72"/>
      <c r="E352" s="69"/>
      <c r="F352" s="69"/>
      <c r="H352" s="72"/>
    </row>
    <row r="353" spans="1:8" s="73" customFormat="1" x14ac:dyDescent="0.25">
      <c r="A353" s="67"/>
      <c r="B353" s="68"/>
      <c r="C353" s="75"/>
      <c r="D353" s="72"/>
      <c r="E353" s="69"/>
      <c r="F353" s="69"/>
      <c r="H353" s="72"/>
    </row>
    <row r="354" spans="1:8" s="73" customFormat="1" x14ac:dyDescent="0.25">
      <c r="A354" s="67"/>
      <c r="B354" s="68"/>
      <c r="C354" s="75"/>
      <c r="D354" s="72"/>
      <c r="E354" s="69"/>
      <c r="F354" s="69"/>
      <c r="H354" s="72"/>
    </row>
    <row r="355" spans="1:8" s="73" customFormat="1" x14ac:dyDescent="0.25">
      <c r="A355" s="67"/>
      <c r="B355" s="68"/>
      <c r="C355" s="75"/>
      <c r="D355" s="72"/>
      <c r="E355" s="69"/>
      <c r="F355" s="69"/>
      <c r="H355" s="72"/>
    </row>
    <row r="356" spans="1:8" s="73" customFormat="1" x14ac:dyDescent="0.25">
      <c r="A356" s="67"/>
      <c r="B356" s="68"/>
      <c r="C356" s="75"/>
      <c r="D356" s="72"/>
      <c r="E356" s="69"/>
      <c r="F356" s="69"/>
      <c r="H356" s="72"/>
    </row>
    <row r="357" spans="1:8" s="73" customFormat="1" x14ac:dyDescent="0.25">
      <c r="A357" s="67"/>
      <c r="B357" s="68"/>
      <c r="C357" s="75"/>
      <c r="D357" s="72"/>
      <c r="E357" s="69"/>
      <c r="F357" s="69"/>
      <c r="H357" s="72"/>
    </row>
    <row r="358" spans="1:8" s="73" customFormat="1" x14ac:dyDescent="0.25">
      <c r="A358" s="67"/>
      <c r="B358" s="68"/>
      <c r="C358" s="75"/>
      <c r="D358" s="72"/>
      <c r="E358" s="69"/>
      <c r="F358" s="69"/>
      <c r="H358" s="72"/>
    </row>
    <row r="359" spans="1:8" s="73" customFormat="1" x14ac:dyDescent="0.25">
      <c r="A359" s="67"/>
      <c r="B359" s="68"/>
      <c r="C359" s="75"/>
      <c r="D359" s="72"/>
      <c r="E359" s="69"/>
      <c r="F359" s="69"/>
      <c r="H359" s="72"/>
    </row>
    <row r="360" spans="1:8" s="73" customFormat="1" x14ac:dyDescent="0.25">
      <c r="A360" s="67"/>
      <c r="B360" s="68"/>
      <c r="C360" s="75"/>
      <c r="D360" s="72"/>
      <c r="E360" s="69"/>
      <c r="F360" s="69"/>
      <c r="H360" s="72"/>
    </row>
    <row r="361" spans="1:8" s="73" customFormat="1" x14ac:dyDescent="0.25">
      <c r="A361" s="67"/>
      <c r="B361" s="68"/>
      <c r="C361" s="75"/>
      <c r="D361" s="72"/>
      <c r="E361" s="69"/>
      <c r="F361" s="69"/>
      <c r="H361" s="72"/>
    </row>
    <row r="362" spans="1:8" s="73" customFormat="1" x14ac:dyDescent="0.25">
      <c r="A362" s="67"/>
      <c r="B362" s="68"/>
      <c r="C362" s="75"/>
      <c r="D362" s="72"/>
      <c r="E362" s="69"/>
      <c r="F362" s="69"/>
      <c r="H362" s="72"/>
    </row>
    <row r="363" spans="1:8" s="73" customFormat="1" x14ac:dyDescent="0.25">
      <c r="A363" s="67"/>
      <c r="B363" s="68"/>
      <c r="C363" s="75"/>
      <c r="D363" s="72"/>
      <c r="E363" s="69"/>
      <c r="F363" s="69"/>
      <c r="H363" s="72"/>
    </row>
    <row r="364" spans="1:8" s="73" customFormat="1" x14ac:dyDescent="0.25">
      <c r="A364" s="67"/>
      <c r="B364" s="68"/>
      <c r="C364" s="75"/>
      <c r="D364" s="72"/>
      <c r="E364" s="69"/>
      <c r="F364" s="69"/>
      <c r="H364" s="72"/>
    </row>
    <row r="365" spans="1:8" s="73" customFormat="1" x14ac:dyDescent="0.25">
      <c r="A365" s="67"/>
      <c r="B365" s="68"/>
      <c r="C365" s="75"/>
      <c r="D365" s="72"/>
      <c r="E365" s="69"/>
      <c r="F365" s="69"/>
      <c r="H365" s="72"/>
    </row>
    <row r="366" spans="1:8" s="73" customFormat="1" x14ac:dyDescent="0.25">
      <c r="A366" s="67"/>
      <c r="B366" s="68"/>
      <c r="C366" s="75"/>
      <c r="D366" s="72"/>
      <c r="E366" s="69"/>
      <c r="F366" s="69"/>
      <c r="H366" s="72"/>
    </row>
    <row r="367" spans="1:8" s="73" customFormat="1" x14ac:dyDescent="0.25">
      <c r="A367" s="67"/>
      <c r="B367" s="68"/>
      <c r="C367" s="75"/>
      <c r="D367" s="72"/>
      <c r="E367" s="69"/>
      <c r="F367" s="69"/>
      <c r="H367" s="72"/>
    </row>
    <row r="368" spans="1:8" s="73" customFormat="1" x14ac:dyDescent="0.25">
      <c r="A368" s="67"/>
      <c r="B368" s="68"/>
      <c r="C368" s="75"/>
      <c r="D368" s="72"/>
      <c r="E368" s="69"/>
      <c r="F368" s="69"/>
      <c r="H368" s="72"/>
    </row>
    <row r="369" spans="1:8" s="73" customFormat="1" x14ac:dyDescent="0.25">
      <c r="A369" s="67"/>
      <c r="B369" s="68"/>
      <c r="C369" s="75"/>
      <c r="D369" s="72"/>
      <c r="E369" s="69"/>
      <c r="F369" s="69"/>
      <c r="H369" s="72"/>
    </row>
    <row r="370" spans="1:8" s="73" customFormat="1" x14ac:dyDescent="0.25">
      <c r="A370" s="67"/>
      <c r="B370" s="68"/>
      <c r="C370" s="75"/>
      <c r="D370" s="72"/>
      <c r="E370" s="69"/>
      <c r="F370" s="69"/>
      <c r="H370" s="72"/>
    </row>
    <row r="371" spans="1:8" s="73" customFormat="1" x14ac:dyDescent="0.25">
      <c r="A371" s="67"/>
      <c r="B371" s="68"/>
      <c r="C371" s="75"/>
      <c r="D371" s="72"/>
      <c r="E371" s="69"/>
      <c r="F371" s="69"/>
      <c r="H371" s="72"/>
    </row>
    <row r="372" spans="1:8" s="73" customFormat="1" x14ac:dyDescent="0.25">
      <c r="A372" s="67"/>
      <c r="B372" s="68"/>
      <c r="C372" s="75"/>
      <c r="D372" s="72"/>
      <c r="E372" s="69"/>
      <c r="F372" s="69"/>
      <c r="H372" s="72"/>
    </row>
    <row r="373" spans="1:8" s="73" customFormat="1" x14ac:dyDescent="0.25">
      <c r="A373" s="67"/>
      <c r="B373" s="68"/>
      <c r="C373" s="75"/>
      <c r="D373" s="72"/>
      <c r="E373" s="69"/>
      <c r="F373" s="69"/>
      <c r="H373" s="72"/>
    </row>
    <row r="374" spans="1:8" s="73" customFormat="1" x14ac:dyDescent="0.25">
      <c r="A374" s="67"/>
      <c r="B374" s="68"/>
      <c r="C374" s="75"/>
      <c r="D374" s="72"/>
      <c r="E374" s="69"/>
      <c r="F374" s="69"/>
      <c r="H374" s="72"/>
    </row>
    <row r="375" spans="1:8" s="73" customFormat="1" x14ac:dyDescent="0.25">
      <c r="A375" s="67"/>
      <c r="B375" s="68"/>
      <c r="C375" s="75"/>
      <c r="D375" s="72"/>
      <c r="E375" s="69"/>
      <c r="F375" s="69"/>
      <c r="H375" s="72"/>
    </row>
    <row r="376" spans="1:8" s="73" customFormat="1" x14ac:dyDescent="0.25">
      <c r="A376" s="67"/>
      <c r="B376" s="68"/>
      <c r="C376" s="75"/>
      <c r="D376" s="72"/>
      <c r="E376" s="69"/>
      <c r="F376" s="69"/>
      <c r="H376" s="72"/>
    </row>
    <row r="377" spans="1:8" s="73" customFormat="1" x14ac:dyDescent="0.25">
      <c r="A377" s="67"/>
      <c r="B377" s="68"/>
      <c r="C377" s="75"/>
      <c r="D377" s="72"/>
      <c r="E377" s="69"/>
      <c r="F377" s="69"/>
      <c r="H377" s="72"/>
    </row>
    <row r="378" spans="1:8" s="73" customFormat="1" x14ac:dyDescent="0.25">
      <c r="A378" s="67"/>
      <c r="B378" s="68"/>
      <c r="C378" s="75"/>
      <c r="D378" s="72"/>
      <c r="E378" s="69"/>
      <c r="F378" s="69"/>
      <c r="H378" s="72"/>
    </row>
    <row r="379" spans="1:8" s="73" customFormat="1" x14ac:dyDescent="0.25">
      <c r="A379" s="67"/>
      <c r="B379" s="68"/>
      <c r="C379" s="75"/>
      <c r="D379" s="72"/>
      <c r="E379" s="69"/>
      <c r="F379" s="69"/>
      <c r="H379" s="72"/>
    </row>
    <row r="380" spans="1:8" s="73" customFormat="1" x14ac:dyDescent="0.25">
      <c r="A380" s="67"/>
      <c r="B380" s="68"/>
      <c r="C380" s="75"/>
      <c r="D380" s="72"/>
      <c r="E380" s="69"/>
      <c r="F380" s="69"/>
      <c r="H380" s="72"/>
    </row>
    <row r="381" spans="1:8" s="73" customFormat="1" x14ac:dyDescent="0.25">
      <c r="A381" s="67"/>
      <c r="B381" s="68"/>
      <c r="C381" s="75"/>
      <c r="D381" s="72"/>
      <c r="E381" s="69"/>
      <c r="F381" s="69"/>
      <c r="H381" s="72"/>
    </row>
    <row r="382" spans="1:8" s="73" customFormat="1" x14ac:dyDescent="0.25">
      <c r="A382" s="67"/>
      <c r="B382" s="68"/>
      <c r="C382" s="75"/>
      <c r="D382" s="72"/>
      <c r="E382" s="69"/>
      <c r="F382" s="69"/>
      <c r="H382" s="72"/>
    </row>
    <row r="383" spans="1:8" s="73" customFormat="1" x14ac:dyDescent="0.25">
      <c r="A383" s="67"/>
      <c r="B383" s="68"/>
      <c r="C383" s="75"/>
      <c r="D383" s="72"/>
      <c r="E383" s="69"/>
      <c r="F383" s="69"/>
      <c r="H383" s="72"/>
    </row>
    <row r="384" spans="1:8" s="73" customFormat="1" x14ac:dyDescent="0.25">
      <c r="A384" s="67"/>
      <c r="B384" s="68"/>
      <c r="C384" s="75"/>
      <c r="D384" s="72"/>
      <c r="E384" s="69"/>
      <c r="F384" s="69"/>
      <c r="H384" s="72"/>
    </row>
    <row r="385" spans="1:8" s="73" customFormat="1" x14ac:dyDescent="0.25">
      <c r="A385" s="67"/>
      <c r="B385" s="68"/>
      <c r="C385" s="75"/>
      <c r="D385" s="72"/>
      <c r="E385" s="69"/>
      <c r="F385" s="69"/>
      <c r="H385" s="72"/>
    </row>
    <row r="386" spans="1:8" s="73" customFormat="1" x14ac:dyDescent="0.25">
      <c r="A386" s="67"/>
      <c r="B386" s="68"/>
      <c r="C386" s="75"/>
      <c r="D386" s="72"/>
      <c r="E386" s="69"/>
      <c r="F386" s="69"/>
      <c r="H386" s="72"/>
    </row>
    <row r="387" spans="1:8" s="73" customFormat="1" x14ac:dyDescent="0.25">
      <c r="A387" s="67"/>
      <c r="B387" s="68"/>
      <c r="C387" s="75"/>
      <c r="D387" s="72"/>
      <c r="E387" s="69"/>
      <c r="F387" s="69"/>
      <c r="H387" s="72"/>
    </row>
    <row r="388" spans="1:8" s="73" customFormat="1" x14ac:dyDescent="0.25">
      <c r="A388" s="67"/>
      <c r="B388" s="68"/>
      <c r="C388" s="75"/>
      <c r="D388" s="72"/>
      <c r="E388" s="69"/>
      <c r="F388" s="69"/>
      <c r="H388" s="72"/>
    </row>
    <row r="389" spans="1:8" s="73" customFormat="1" x14ac:dyDescent="0.25">
      <c r="A389" s="67"/>
      <c r="B389" s="68"/>
      <c r="C389" s="75"/>
      <c r="D389" s="72"/>
      <c r="E389" s="69"/>
      <c r="F389" s="69"/>
      <c r="H389" s="72"/>
    </row>
    <row r="390" spans="1:8" s="73" customFormat="1" x14ac:dyDescent="0.25">
      <c r="A390" s="67"/>
      <c r="B390" s="68"/>
      <c r="C390" s="75"/>
      <c r="D390" s="72"/>
      <c r="E390" s="69"/>
      <c r="F390" s="69"/>
      <c r="H390" s="72"/>
    </row>
    <row r="391" spans="1:8" s="73" customFormat="1" x14ac:dyDescent="0.25">
      <c r="A391" s="67"/>
      <c r="B391" s="68"/>
      <c r="C391" s="75"/>
      <c r="D391" s="72"/>
      <c r="E391" s="69"/>
      <c r="F391" s="69"/>
      <c r="H391" s="72"/>
    </row>
    <row r="392" spans="1:8" s="73" customFormat="1" x14ac:dyDescent="0.25">
      <c r="A392" s="67"/>
      <c r="B392" s="68"/>
      <c r="C392" s="75"/>
      <c r="D392" s="72"/>
      <c r="E392" s="69"/>
      <c r="F392" s="69"/>
      <c r="H392" s="72"/>
    </row>
    <row r="393" spans="1:8" s="73" customFormat="1" x14ac:dyDescent="0.25">
      <c r="A393" s="67"/>
      <c r="B393" s="68"/>
      <c r="C393" s="75"/>
      <c r="D393" s="72"/>
      <c r="E393" s="69"/>
      <c r="F393" s="69"/>
      <c r="H393" s="72"/>
    </row>
    <row r="394" spans="1:8" s="73" customFormat="1" x14ac:dyDescent="0.25">
      <c r="A394" s="67"/>
      <c r="B394" s="68"/>
      <c r="C394" s="75"/>
      <c r="D394" s="72"/>
      <c r="E394" s="69"/>
      <c r="F394" s="69"/>
      <c r="H394" s="72"/>
    </row>
    <row r="395" spans="1:8" s="73" customFormat="1" x14ac:dyDescent="0.25">
      <c r="A395" s="67"/>
      <c r="B395" s="68"/>
      <c r="C395" s="75"/>
      <c r="D395" s="72"/>
      <c r="E395" s="69"/>
      <c r="F395" s="69"/>
      <c r="H395" s="72"/>
    </row>
    <row r="396" spans="1:8" s="73" customFormat="1" x14ac:dyDescent="0.25">
      <c r="A396" s="67"/>
      <c r="B396" s="68"/>
      <c r="C396" s="75"/>
      <c r="D396" s="72"/>
      <c r="E396" s="69"/>
      <c r="F396" s="69"/>
      <c r="H396" s="72"/>
    </row>
    <row r="397" spans="1:8" s="73" customFormat="1" x14ac:dyDescent="0.25">
      <c r="A397" s="67"/>
      <c r="B397" s="68"/>
      <c r="C397" s="75"/>
      <c r="D397" s="72"/>
      <c r="E397" s="69"/>
      <c r="F397" s="69"/>
      <c r="H397" s="72"/>
    </row>
    <row r="398" spans="1:8" s="73" customFormat="1" x14ac:dyDescent="0.25">
      <c r="A398" s="67"/>
      <c r="B398" s="68"/>
      <c r="C398" s="75"/>
      <c r="D398" s="72"/>
      <c r="E398" s="69"/>
      <c r="F398" s="69"/>
      <c r="H398" s="72"/>
    </row>
    <row r="399" spans="1:8" s="73" customFormat="1" x14ac:dyDescent="0.25">
      <c r="A399" s="67"/>
      <c r="B399" s="68"/>
      <c r="C399" s="75"/>
      <c r="D399" s="72"/>
      <c r="E399" s="69"/>
      <c r="F399" s="69"/>
      <c r="H399" s="72"/>
    </row>
    <row r="400" spans="1:8" s="73" customFormat="1" x14ac:dyDescent="0.25">
      <c r="A400" s="67"/>
      <c r="B400" s="68"/>
      <c r="C400" s="75"/>
      <c r="D400" s="72"/>
      <c r="E400" s="69"/>
      <c r="F400" s="69"/>
      <c r="H400" s="72"/>
    </row>
    <row r="401" spans="1:8" s="73" customFormat="1" x14ac:dyDescent="0.25">
      <c r="A401" s="67"/>
      <c r="B401" s="68"/>
      <c r="C401" s="75"/>
      <c r="D401" s="72"/>
      <c r="E401" s="69"/>
      <c r="F401" s="69"/>
      <c r="H401" s="72"/>
    </row>
    <row r="402" spans="1:8" s="73" customFormat="1" x14ac:dyDescent="0.25">
      <c r="A402" s="67"/>
      <c r="B402" s="68"/>
      <c r="C402" s="75"/>
      <c r="D402" s="72"/>
      <c r="E402" s="69"/>
      <c r="F402" s="69"/>
      <c r="H402" s="72"/>
    </row>
    <row r="403" spans="1:8" s="73" customFormat="1" x14ac:dyDescent="0.25">
      <c r="A403" s="67"/>
      <c r="B403" s="68"/>
      <c r="C403" s="75"/>
      <c r="D403" s="72"/>
      <c r="E403" s="69"/>
      <c r="F403" s="69"/>
      <c r="H403" s="72"/>
    </row>
    <row r="404" spans="1:8" s="73" customFormat="1" x14ac:dyDescent="0.25">
      <c r="A404" s="67"/>
      <c r="B404" s="68"/>
      <c r="C404" s="75"/>
      <c r="D404" s="72"/>
      <c r="E404" s="69"/>
      <c r="F404" s="69"/>
      <c r="H404" s="72"/>
    </row>
    <row r="405" spans="1:8" s="73" customFormat="1" x14ac:dyDescent="0.25">
      <c r="A405" s="67"/>
      <c r="B405" s="68"/>
      <c r="C405" s="75"/>
      <c r="D405" s="72"/>
      <c r="E405" s="69"/>
      <c r="F405" s="69"/>
      <c r="H405" s="72"/>
    </row>
    <row r="406" spans="1:8" s="73" customFormat="1" x14ac:dyDescent="0.25">
      <c r="A406" s="67"/>
      <c r="B406" s="68"/>
      <c r="C406" s="75"/>
      <c r="D406" s="72"/>
      <c r="E406" s="69"/>
      <c r="F406" s="69"/>
      <c r="H406" s="72"/>
    </row>
    <row r="407" spans="1:8" s="73" customFormat="1" x14ac:dyDescent="0.25">
      <c r="A407" s="67"/>
      <c r="B407" s="68"/>
      <c r="C407" s="75"/>
      <c r="D407" s="72"/>
      <c r="E407" s="69"/>
      <c r="F407" s="69"/>
      <c r="H407" s="72"/>
    </row>
    <row r="408" spans="1:8" s="73" customFormat="1" x14ac:dyDescent="0.25">
      <c r="A408" s="67"/>
      <c r="B408" s="68"/>
      <c r="C408" s="75"/>
      <c r="D408" s="72"/>
      <c r="E408" s="69"/>
      <c r="F408" s="69"/>
      <c r="H408" s="72"/>
    </row>
    <row r="409" spans="1:8" s="73" customFormat="1" x14ac:dyDescent="0.25">
      <c r="A409" s="67"/>
      <c r="B409" s="68"/>
      <c r="C409" s="75"/>
      <c r="D409" s="72"/>
      <c r="E409" s="69"/>
      <c r="F409" s="69"/>
      <c r="H409" s="72"/>
    </row>
    <row r="410" spans="1:8" s="73" customFormat="1" x14ac:dyDescent="0.25">
      <c r="A410" s="67"/>
      <c r="B410" s="68"/>
      <c r="C410" s="75"/>
      <c r="D410" s="72"/>
      <c r="E410" s="69"/>
      <c r="F410" s="69"/>
      <c r="H410" s="72"/>
    </row>
    <row r="411" spans="1:8" s="73" customFormat="1" x14ac:dyDescent="0.25">
      <c r="A411" s="67"/>
      <c r="B411" s="68"/>
      <c r="C411" s="75"/>
      <c r="D411" s="72"/>
      <c r="E411" s="69"/>
      <c r="F411" s="69"/>
      <c r="H411" s="72"/>
    </row>
    <row r="412" spans="1:8" s="73" customFormat="1" x14ac:dyDescent="0.25">
      <c r="A412" s="67"/>
      <c r="B412" s="68"/>
      <c r="C412" s="75"/>
      <c r="D412" s="72"/>
      <c r="E412" s="69"/>
      <c r="F412" s="69"/>
      <c r="H412" s="72"/>
    </row>
    <row r="413" spans="1:8" s="73" customFormat="1" x14ac:dyDescent="0.25">
      <c r="A413" s="67"/>
      <c r="B413" s="68"/>
      <c r="C413" s="75"/>
      <c r="D413" s="72"/>
      <c r="E413" s="69"/>
      <c r="F413" s="69"/>
      <c r="H413" s="72"/>
    </row>
    <row r="414" spans="1:8" s="73" customFormat="1" x14ac:dyDescent="0.25">
      <c r="A414" s="67"/>
      <c r="B414" s="68"/>
      <c r="C414" s="75"/>
      <c r="D414" s="72"/>
      <c r="E414" s="69"/>
      <c r="F414" s="69"/>
      <c r="H414" s="72"/>
    </row>
    <row r="415" spans="1:8" s="73" customFormat="1" x14ac:dyDescent="0.25">
      <c r="A415" s="67"/>
      <c r="B415" s="68"/>
      <c r="C415" s="75"/>
      <c r="D415" s="72"/>
      <c r="E415" s="69"/>
      <c r="F415" s="69"/>
      <c r="H415" s="72"/>
    </row>
    <row r="416" spans="1:8" s="73" customFormat="1" x14ac:dyDescent="0.25">
      <c r="A416" s="67"/>
      <c r="B416" s="68"/>
      <c r="C416" s="75"/>
      <c r="D416" s="72"/>
      <c r="E416" s="69"/>
      <c r="F416" s="69"/>
      <c r="H416" s="72"/>
    </row>
    <row r="417" spans="1:8" s="73" customFormat="1" x14ac:dyDescent="0.25">
      <c r="A417" s="67"/>
      <c r="B417" s="68"/>
      <c r="C417" s="75"/>
      <c r="D417" s="72"/>
      <c r="E417" s="69"/>
      <c r="F417" s="69"/>
      <c r="H417" s="72"/>
    </row>
    <row r="418" spans="1:8" s="73" customFormat="1" x14ac:dyDescent="0.25">
      <c r="A418" s="67"/>
      <c r="B418" s="68"/>
      <c r="C418" s="75"/>
      <c r="D418" s="72"/>
      <c r="E418" s="69"/>
      <c r="F418" s="69"/>
      <c r="H418" s="72"/>
    </row>
    <row r="419" spans="1:8" s="73" customFormat="1" x14ac:dyDescent="0.25">
      <c r="A419" s="67"/>
      <c r="B419" s="68"/>
      <c r="C419" s="75"/>
      <c r="D419" s="72"/>
      <c r="E419" s="69"/>
      <c r="F419" s="69"/>
      <c r="H419" s="72"/>
    </row>
    <row r="420" spans="1:8" s="73" customFormat="1" x14ac:dyDescent="0.25">
      <c r="A420" s="67"/>
      <c r="B420" s="68"/>
      <c r="C420" s="75"/>
      <c r="D420" s="72"/>
      <c r="E420" s="69"/>
      <c r="F420" s="69"/>
      <c r="H420" s="72"/>
    </row>
    <row r="421" spans="1:8" s="73" customFormat="1" x14ac:dyDescent="0.25">
      <c r="A421" s="67"/>
      <c r="B421" s="68"/>
      <c r="C421" s="75"/>
      <c r="D421" s="72"/>
      <c r="E421" s="69"/>
      <c r="F421" s="69"/>
      <c r="H421" s="72"/>
    </row>
    <row r="422" spans="1:8" s="73" customFormat="1" x14ac:dyDescent="0.25">
      <c r="A422" s="67"/>
      <c r="B422" s="68"/>
      <c r="C422" s="75"/>
      <c r="D422" s="72"/>
      <c r="E422" s="69"/>
      <c r="F422" s="69"/>
      <c r="H422" s="72"/>
    </row>
    <row r="423" spans="1:8" s="73" customFormat="1" x14ac:dyDescent="0.25">
      <c r="A423" s="67"/>
      <c r="B423" s="68"/>
      <c r="C423" s="75"/>
      <c r="D423" s="72"/>
      <c r="E423" s="69"/>
      <c r="F423" s="69"/>
      <c r="H423" s="72"/>
    </row>
    <row r="424" spans="1:8" s="73" customFormat="1" x14ac:dyDescent="0.25">
      <c r="A424" s="67"/>
      <c r="B424" s="68"/>
      <c r="C424" s="75"/>
      <c r="D424" s="72"/>
      <c r="E424" s="69"/>
      <c r="F424" s="69"/>
      <c r="H424" s="72"/>
    </row>
    <row r="425" spans="1:8" s="73" customFormat="1" x14ac:dyDescent="0.25">
      <c r="A425" s="67"/>
      <c r="B425" s="68"/>
      <c r="C425" s="75"/>
      <c r="D425" s="72"/>
      <c r="E425" s="69"/>
      <c r="F425" s="69"/>
      <c r="H425" s="72"/>
    </row>
    <row r="426" spans="1:8" s="73" customFormat="1" x14ac:dyDescent="0.25">
      <c r="A426" s="67"/>
      <c r="B426" s="68"/>
      <c r="C426" s="75"/>
      <c r="D426" s="72"/>
      <c r="E426" s="69"/>
      <c r="F426" s="69"/>
      <c r="H426" s="72"/>
    </row>
    <row r="427" spans="1:8" s="73" customFormat="1" x14ac:dyDescent="0.25">
      <c r="A427" s="67"/>
      <c r="B427" s="68"/>
      <c r="C427" s="75"/>
      <c r="D427" s="72"/>
      <c r="E427" s="69"/>
      <c r="F427" s="69"/>
      <c r="H427" s="72"/>
    </row>
    <row r="428" spans="1:8" s="73" customFormat="1" x14ac:dyDescent="0.25">
      <c r="A428" s="67"/>
      <c r="B428" s="68"/>
      <c r="C428" s="75"/>
      <c r="D428" s="72"/>
      <c r="E428" s="69"/>
      <c r="F428" s="69"/>
      <c r="H428" s="72"/>
    </row>
    <row r="429" spans="1:8" s="73" customFormat="1" x14ac:dyDescent="0.25">
      <c r="A429" s="67"/>
      <c r="B429" s="68"/>
      <c r="C429" s="75"/>
      <c r="D429" s="72"/>
      <c r="E429" s="69"/>
      <c r="F429" s="69"/>
      <c r="H429" s="72"/>
    </row>
    <row r="430" spans="1:8" s="73" customFormat="1" x14ac:dyDescent="0.25">
      <c r="A430" s="67"/>
      <c r="B430" s="68"/>
      <c r="C430" s="75"/>
      <c r="D430" s="72"/>
      <c r="E430" s="69"/>
      <c r="F430" s="69"/>
      <c r="H430" s="72"/>
    </row>
    <row r="431" spans="1:8" s="73" customFormat="1" x14ac:dyDescent="0.25">
      <c r="A431" s="67"/>
      <c r="B431" s="68"/>
      <c r="C431" s="75"/>
      <c r="D431" s="72"/>
      <c r="E431" s="69"/>
      <c r="F431" s="69"/>
      <c r="H431" s="72"/>
    </row>
    <row r="432" spans="1:8" s="73" customFormat="1" x14ac:dyDescent="0.25">
      <c r="A432" s="67"/>
      <c r="B432" s="68"/>
      <c r="C432" s="75"/>
      <c r="D432" s="72"/>
      <c r="E432" s="69"/>
      <c r="F432" s="69"/>
      <c r="H432" s="72"/>
    </row>
    <row r="433" spans="1:8" s="73" customFormat="1" x14ac:dyDescent="0.25">
      <c r="A433" s="67"/>
      <c r="B433" s="68"/>
      <c r="C433" s="75"/>
      <c r="D433" s="72"/>
      <c r="E433" s="69"/>
      <c r="F433" s="69"/>
      <c r="H433" s="72"/>
    </row>
    <row r="434" spans="1:8" s="73" customFormat="1" x14ac:dyDescent="0.25">
      <c r="A434" s="67"/>
      <c r="B434" s="68"/>
      <c r="C434" s="75"/>
      <c r="D434" s="72"/>
      <c r="E434" s="69"/>
      <c r="F434" s="69"/>
      <c r="H434" s="72"/>
    </row>
    <row r="435" spans="1:8" s="73" customFormat="1" x14ac:dyDescent="0.25">
      <c r="A435" s="67"/>
      <c r="B435" s="68"/>
      <c r="C435" s="75"/>
      <c r="D435" s="72"/>
      <c r="E435" s="69"/>
      <c r="F435" s="69"/>
      <c r="H435" s="72"/>
    </row>
    <row r="436" spans="1:8" s="73" customFormat="1" x14ac:dyDescent="0.25">
      <c r="A436" s="67"/>
      <c r="B436" s="68"/>
      <c r="C436" s="75"/>
      <c r="D436" s="72"/>
      <c r="E436" s="69"/>
      <c r="F436" s="69"/>
      <c r="H436" s="72"/>
    </row>
    <row r="437" spans="1:8" s="73" customFormat="1" x14ac:dyDescent="0.25">
      <c r="A437" s="67"/>
      <c r="B437" s="68"/>
      <c r="C437" s="75"/>
      <c r="D437" s="72"/>
      <c r="E437" s="69"/>
      <c r="F437" s="69"/>
      <c r="H437" s="72"/>
    </row>
    <row r="438" spans="1:8" s="73" customFormat="1" x14ac:dyDescent="0.25">
      <c r="A438" s="67"/>
      <c r="B438" s="68"/>
      <c r="C438" s="75"/>
      <c r="D438" s="72"/>
      <c r="E438" s="69"/>
      <c r="F438" s="69"/>
      <c r="H438" s="72"/>
    </row>
    <row r="439" spans="1:8" s="73" customFormat="1" x14ac:dyDescent="0.25">
      <c r="A439" s="67"/>
      <c r="B439" s="68"/>
      <c r="C439" s="75"/>
      <c r="D439" s="72"/>
      <c r="E439" s="69"/>
      <c r="F439" s="69"/>
      <c r="H439" s="72"/>
    </row>
    <row r="440" spans="1:8" s="73" customFormat="1" x14ac:dyDescent="0.25">
      <c r="A440" s="67"/>
      <c r="B440" s="68"/>
      <c r="C440" s="75"/>
      <c r="D440" s="72"/>
      <c r="E440" s="69"/>
      <c r="F440" s="69"/>
      <c r="H440" s="72"/>
    </row>
    <row r="441" spans="1:8" s="73" customFormat="1" x14ac:dyDescent="0.25">
      <c r="A441" s="67"/>
      <c r="B441" s="68"/>
      <c r="C441" s="75"/>
      <c r="D441" s="72"/>
      <c r="E441" s="69"/>
      <c r="F441" s="69"/>
      <c r="H441" s="72"/>
    </row>
    <row r="442" spans="1:8" s="73" customFormat="1" x14ac:dyDescent="0.25">
      <c r="A442" s="67"/>
      <c r="B442" s="68"/>
      <c r="C442" s="75"/>
      <c r="D442" s="72"/>
      <c r="E442" s="69"/>
      <c r="F442" s="69"/>
      <c r="H442" s="72"/>
    </row>
    <row r="443" spans="1:8" s="73" customFormat="1" x14ac:dyDescent="0.25">
      <c r="A443" s="67"/>
      <c r="B443" s="68"/>
      <c r="C443" s="75"/>
      <c r="D443" s="72"/>
      <c r="E443" s="69"/>
      <c r="F443" s="69"/>
      <c r="H443" s="72"/>
    </row>
    <row r="444" spans="1:8" s="73" customFormat="1" x14ac:dyDescent="0.25">
      <c r="A444" s="67"/>
      <c r="B444" s="68"/>
      <c r="C444" s="75"/>
      <c r="D444" s="72"/>
      <c r="E444" s="69"/>
      <c r="F444" s="69"/>
      <c r="H444" s="72"/>
    </row>
    <row r="445" spans="1:8" s="73" customFormat="1" x14ac:dyDescent="0.25">
      <c r="A445" s="67"/>
      <c r="B445" s="68"/>
      <c r="C445" s="75"/>
      <c r="D445" s="72"/>
      <c r="E445" s="69"/>
      <c r="F445" s="69"/>
      <c r="H445" s="72"/>
    </row>
    <row r="446" spans="1:8" s="73" customFormat="1" x14ac:dyDescent="0.25">
      <c r="A446" s="67"/>
      <c r="B446" s="68"/>
      <c r="C446" s="75"/>
      <c r="D446" s="72"/>
      <c r="E446" s="69"/>
      <c r="F446" s="69"/>
      <c r="H446" s="72"/>
    </row>
    <row r="447" spans="1:8" s="73" customFormat="1" x14ac:dyDescent="0.25">
      <c r="A447" s="67"/>
      <c r="B447" s="68"/>
      <c r="C447" s="75"/>
      <c r="D447" s="72"/>
      <c r="E447" s="69"/>
      <c r="F447" s="69"/>
      <c r="H447" s="72"/>
    </row>
    <row r="448" spans="1:8" s="73" customFormat="1" x14ac:dyDescent="0.25">
      <c r="A448" s="67"/>
      <c r="B448" s="68"/>
      <c r="C448" s="75"/>
      <c r="D448" s="72"/>
      <c r="E448" s="69"/>
      <c r="F448" s="69"/>
      <c r="H448" s="72"/>
    </row>
    <row r="449" spans="1:8" s="73" customFormat="1" x14ac:dyDescent="0.25">
      <c r="A449" s="67"/>
      <c r="B449" s="68"/>
      <c r="C449" s="75"/>
      <c r="D449" s="72"/>
      <c r="E449" s="69"/>
      <c r="F449" s="69"/>
      <c r="H449" s="72"/>
    </row>
    <row r="450" spans="1:8" s="73" customFormat="1" x14ac:dyDescent="0.25">
      <c r="A450" s="67"/>
      <c r="B450" s="68"/>
      <c r="C450" s="75"/>
      <c r="D450" s="72"/>
      <c r="E450" s="69"/>
      <c r="F450" s="69"/>
      <c r="H450" s="72"/>
    </row>
    <row r="451" spans="1:8" s="73" customFormat="1" x14ac:dyDescent="0.25">
      <c r="A451" s="67"/>
      <c r="B451" s="68"/>
      <c r="C451" s="75"/>
      <c r="D451" s="72"/>
      <c r="E451" s="69"/>
      <c r="F451" s="69"/>
      <c r="H451" s="72"/>
    </row>
    <row r="452" spans="1:8" s="73" customFormat="1" x14ac:dyDescent="0.25">
      <c r="A452" s="67"/>
      <c r="B452" s="68"/>
      <c r="C452" s="75"/>
      <c r="D452" s="72"/>
      <c r="E452" s="69"/>
      <c r="F452" s="69"/>
      <c r="H452" s="72"/>
    </row>
    <row r="453" spans="1:8" s="73" customFormat="1" x14ac:dyDescent="0.25">
      <c r="A453" s="67"/>
      <c r="B453" s="68"/>
      <c r="C453" s="75"/>
      <c r="D453" s="72"/>
      <c r="E453" s="69"/>
      <c r="F453" s="69"/>
      <c r="H453" s="72"/>
    </row>
    <row r="454" spans="1:8" s="73" customFormat="1" x14ac:dyDescent="0.25">
      <c r="A454" s="67"/>
      <c r="B454" s="68"/>
      <c r="C454" s="75"/>
      <c r="D454" s="72"/>
      <c r="E454" s="69"/>
      <c r="F454" s="69"/>
      <c r="H454" s="72"/>
    </row>
    <row r="455" spans="1:8" s="73" customFormat="1" x14ac:dyDescent="0.25">
      <c r="A455" s="67"/>
      <c r="B455" s="68"/>
      <c r="C455" s="75"/>
      <c r="D455" s="72"/>
      <c r="E455" s="69"/>
      <c r="F455" s="69"/>
      <c r="H455" s="72"/>
    </row>
    <row r="456" spans="1:8" s="73" customFormat="1" x14ac:dyDescent="0.25">
      <c r="A456" s="67"/>
      <c r="B456" s="68"/>
      <c r="C456" s="75"/>
      <c r="D456" s="72"/>
      <c r="E456" s="69"/>
      <c r="F456" s="69"/>
      <c r="H456" s="72"/>
    </row>
    <row r="457" spans="1:8" s="73" customFormat="1" x14ac:dyDescent="0.25">
      <c r="A457" s="67"/>
      <c r="B457" s="68"/>
      <c r="C457" s="75"/>
      <c r="D457" s="72"/>
      <c r="E457" s="69"/>
      <c r="F457" s="69"/>
      <c r="H457" s="72"/>
    </row>
    <row r="458" spans="1:8" s="73" customFormat="1" x14ac:dyDescent="0.25">
      <c r="A458" s="67"/>
      <c r="B458" s="68"/>
      <c r="C458" s="75"/>
      <c r="D458" s="72"/>
      <c r="E458" s="69"/>
      <c r="F458" s="69"/>
      <c r="H458" s="72"/>
    </row>
    <row r="459" spans="1:8" s="73" customFormat="1" x14ac:dyDescent="0.25">
      <c r="A459" s="67"/>
      <c r="B459" s="68"/>
      <c r="C459" s="75"/>
      <c r="D459" s="72"/>
      <c r="E459" s="69"/>
      <c r="F459" s="69"/>
      <c r="H459" s="72"/>
    </row>
    <row r="460" spans="1:8" s="73" customFormat="1" x14ac:dyDescent="0.25">
      <c r="A460" s="67"/>
      <c r="B460" s="68"/>
      <c r="C460" s="75"/>
      <c r="D460" s="72"/>
      <c r="E460" s="69"/>
      <c r="F460" s="69"/>
      <c r="H460" s="72"/>
    </row>
    <row r="461" spans="1:8" s="73" customFormat="1" x14ac:dyDescent="0.25">
      <c r="A461" s="67"/>
      <c r="B461" s="68"/>
      <c r="C461" s="75"/>
      <c r="D461" s="72"/>
      <c r="E461" s="69"/>
      <c r="F461" s="69"/>
      <c r="H461" s="72"/>
    </row>
    <row r="462" spans="1:8" s="73" customFormat="1" x14ac:dyDescent="0.25">
      <c r="A462" s="67"/>
      <c r="B462" s="68"/>
      <c r="C462" s="75"/>
      <c r="D462" s="72"/>
      <c r="E462" s="69"/>
      <c r="F462" s="69"/>
      <c r="H462" s="72"/>
    </row>
    <row r="463" spans="1:8" s="73" customFormat="1" x14ac:dyDescent="0.25">
      <c r="A463" s="67"/>
      <c r="B463" s="68"/>
      <c r="C463" s="75"/>
      <c r="D463" s="72"/>
      <c r="E463" s="69"/>
      <c r="F463" s="69"/>
      <c r="H463" s="72"/>
    </row>
    <row r="464" spans="1:8" s="73" customFormat="1" x14ac:dyDescent="0.25">
      <c r="A464" s="67"/>
      <c r="B464" s="68"/>
      <c r="C464" s="75"/>
      <c r="D464" s="72"/>
      <c r="E464" s="69"/>
      <c r="F464" s="69"/>
      <c r="H464" s="72"/>
    </row>
    <row r="465" spans="1:8" s="73" customFormat="1" x14ac:dyDescent="0.25">
      <c r="A465" s="67"/>
      <c r="B465" s="68"/>
      <c r="C465" s="75"/>
      <c r="D465" s="72"/>
      <c r="E465" s="69"/>
      <c r="F465" s="69"/>
      <c r="H465" s="72"/>
    </row>
    <row r="466" spans="1:8" s="73" customFormat="1" x14ac:dyDescent="0.25">
      <c r="A466" s="67"/>
      <c r="B466" s="68"/>
      <c r="C466" s="75"/>
      <c r="D466" s="72"/>
      <c r="E466" s="69"/>
      <c r="F466" s="69"/>
      <c r="H466" s="72"/>
    </row>
    <row r="467" spans="1:8" s="73" customFormat="1" x14ac:dyDescent="0.25">
      <c r="A467" s="67"/>
      <c r="B467" s="68"/>
      <c r="C467" s="75"/>
      <c r="D467" s="72"/>
      <c r="E467" s="69"/>
      <c r="F467" s="69"/>
      <c r="H467" s="72"/>
    </row>
    <row r="468" spans="1:8" s="73" customFormat="1" x14ac:dyDescent="0.25">
      <c r="A468" s="67"/>
      <c r="B468" s="68"/>
      <c r="C468" s="75"/>
      <c r="D468" s="72"/>
      <c r="E468" s="69"/>
      <c r="F468" s="69"/>
      <c r="H468" s="72"/>
    </row>
    <row r="469" spans="1:8" s="73" customFormat="1" x14ac:dyDescent="0.25">
      <c r="A469" s="67"/>
      <c r="B469" s="68"/>
      <c r="C469" s="75"/>
      <c r="D469" s="72"/>
      <c r="E469" s="69"/>
      <c r="F469" s="69"/>
      <c r="H469" s="72"/>
    </row>
    <row r="470" spans="1:8" s="73" customFormat="1" x14ac:dyDescent="0.25">
      <c r="A470" s="67"/>
      <c r="B470" s="68"/>
      <c r="C470" s="75"/>
      <c r="D470" s="72"/>
      <c r="E470" s="69"/>
      <c r="F470" s="69"/>
      <c r="H470" s="72"/>
    </row>
    <row r="471" spans="1:8" s="73" customFormat="1" x14ac:dyDescent="0.25">
      <c r="A471" s="67"/>
      <c r="B471" s="68"/>
      <c r="C471" s="75"/>
      <c r="D471" s="72"/>
      <c r="E471" s="69"/>
      <c r="F471" s="69"/>
      <c r="H471" s="72"/>
    </row>
    <row r="472" spans="1:8" s="73" customFormat="1" x14ac:dyDescent="0.25">
      <c r="A472" s="67"/>
      <c r="B472" s="68"/>
      <c r="C472" s="75"/>
      <c r="D472" s="72"/>
      <c r="E472" s="69"/>
      <c r="F472" s="69"/>
      <c r="H472" s="72"/>
    </row>
    <row r="473" spans="1:8" s="73" customFormat="1" x14ac:dyDescent="0.25">
      <c r="A473" s="67"/>
      <c r="B473" s="68"/>
      <c r="C473" s="75"/>
      <c r="D473" s="72"/>
      <c r="E473" s="69"/>
      <c r="F473" s="69"/>
      <c r="H473" s="72"/>
    </row>
    <row r="474" spans="1:8" s="73" customFormat="1" x14ac:dyDescent="0.25">
      <c r="A474" s="67"/>
      <c r="B474" s="68"/>
      <c r="C474" s="75"/>
      <c r="D474" s="72"/>
      <c r="E474" s="69"/>
      <c r="F474" s="69"/>
      <c r="H474" s="72"/>
    </row>
    <row r="475" spans="1:8" s="73" customFormat="1" x14ac:dyDescent="0.25">
      <c r="A475" s="67"/>
      <c r="B475" s="68"/>
      <c r="C475" s="75"/>
      <c r="D475" s="72"/>
      <c r="E475" s="69"/>
      <c r="F475" s="69"/>
      <c r="H475" s="72"/>
    </row>
    <row r="476" spans="1:8" s="73" customFormat="1" x14ac:dyDescent="0.25">
      <c r="A476" s="67"/>
      <c r="B476" s="68"/>
      <c r="C476" s="75"/>
      <c r="D476" s="72"/>
      <c r="E476" s="69"/>
      <c r="F476" s="69"/>
      <c r="H476" s="72"/>
    </row>
    <row r="477" spans="1:8" s="73" customFormat="1" x14ac:dyDescent="0.25">
      <c r="A477" s="67"/>
      <c r="B477" s="68"/>
      <c r="C477" s="75"/>
      <c r="D477" s="72"/>
      <c r="E477" s="69"/>
      <c r="F477" s="69"/>
      <c r="H477" s="72"/>
    </row>
    <row r="478" spans="1:8" s="73" customFormat="1" x14ac:dyDescent="0.25">
      <c r="A478" s="67"/>
      <c r="B478" s="68"/>
      <c r="C478" s="75"/>
      <c r="D478" s="72"/>
      <c r="E478" s="69"/>
      <c r="F478" s="69"/>
      <c r="H478" s="72"/>
    </row>
    <row r="479" spans="1:8" s="73" customFormat="1" x14ac:dyDescent="0.25">
      <c r="A479" s="67"/>
      <c r="B479" s="68"/>
      <c r="C479" s="75"/>
      <c r="D479" s="72"/>
      <c r="E479" s="69"/>
      <c r="F479" s="69"/>
      <c r="H479" s="72"/>
    </row>
    <row r="480" spans="1:8" s="73" customFormat="1" x14ac:dyDescent="0.25">
      <c r="A480" s="67"/>
      <c r="B480" s="68"/>
      <c r="C480" s="75"/>
      <c r="D480" s="72"/>
      <c r="E480" s="69"/>
      <c r="F480" s="69"/>
      <c r="H480" s="72"/>
    </row>
    <row r="481" spans="1:8" s="73" customFormat="1" x14ac:dyDescent="0.25">
      <c r="A481" s="67"/>
      <c r="B481" s="68"/>
      <c r="C481" s="75"/>
      <c r="D481" s="72"/>
      <c r="E481" s="69"/>
      <c r="F481" s="69"/>
      <c r="H481" s="72"/>
    </row>
    <row r="482" spans="1:8" s="73" customFormat="1" x14ac:dyDescent="0.25">
      <c r="A482" s="67"/>
      <c r="B482" s="68"/>
      <c r="C482" s="75"/>
      <c r="D482" s="72"/>
      <c r="E482" s="69"/>
      <c r="F482" s="69"/>
      <c r="H482" s="72"/>
    </row>
    <row r="483" spans="1:8" s="73" customFormat="1" x14ac:dyDescent="0.25">
      <c r="A483" s="67"/>
      <c r="B483" s="68"/>
      <c r="C483" s="75"/>
      <c r="D483" s="72"/>
      <c r="E483" s="69"/>
      <c r="F483" s="69"/>
      <c r="H483" s="72"/>
    </row>
    <row r="484" spans="1:8" s="73" customFormat="1" x14ac:dyDescent="0.25">
      <c r="A484" s="67"/>
      <c r="B484" s="68"/>
      <c r="C484" s="75"/>
      <c r="D484" s="72"/>
      <c r="E484" s="69"/>
      <c r="F484" s="69"/>
      <c r="H484" s="72"/>
    </row>
    <row r="485" spans="1:8" s="73" customFormat="1" x14ac:dyDescent="0.25">
      <c r="A485" s="67"/>
      <c r="B485" s="68"/>
      <c r="C485" s="75"/>
      <c r="D485" s="72"/>
      <c r="E485" s="69"/>
      <c r="F485" s="69"/>
      <c r="H485" s="72"/>
    </row>
    <row r="486" spans="1:8" s="73" customFormat="1" x14ac:dyDescent="0.25">
      <c r="A486" s="67"/>
      <c r="B486" s="68"/>
      <c r="C486" s="75"/>
      <c r="D486" s="72"/>
      <c r="E486" s="69"/>
      <c r="F486" s="69"/>
      <c r="H486" s="72"/>
    </row>
    <row r="487" spans="1:8" s="73" customFormat="1" x14ac:dyDescent="0.25">
      <c r="A487" s="67"/>
      <c r="B487" s="68"/>
      <c r="C487" s="75"/>
      <c r="D487" s="72"/>
      <c r="E487" s="69"/>
      <c r="F487" s="69"/>
      <c r="H487" s="72"/>
    </row>
    <row r="488" spans="1:8" s="73" customFormat="1" x14ac:dyDescent="0.25">
      <c r="A488" s="67"/>
      <c r="B488" s="68"/>
      <c r="C488" s="75"/>
      <c r="D488" s="72"/>
      <c r="E488" s="69"/>
      <c r="F488" s="69"/>
      <c r="H488" s="72"/>
    </row>
    <row r="489" spans="1:8" s="73" customFormat="1" x14ac:dyDescent="0.25">
      <c r="A489" s="67"/>
      <c r="B489" s="68"/>
      <c r="C489" s="75"/>
      <c r="D489" s="72"/>
      <c r="E489" s="69"/>
      <c r="F489" s="69"/>
      <c r="H489" s="72"/>
    </row>
    <row r="490" spans="1:8" s="73" customFormat="1" x14ac:dyDescent="0.25">
      <c r="A490" s="67"/>
      <c r="B490" s="68"/>
      <c r="C490" s="75"/>
      <c r="D490" s="72"/>
      <c r="E490" s="69"/>
      <c r="F490" s="69"/>
      <c r="H490" s="72"/>
    </row>
    <row r="491" spans="1:8" s="73" customFormat="1" x14ac:dyDescent="0.25">
      <c r="A491" s="67"/>
      <c r="B491" s="68"/>
      <c r="C491" s="75"/>
      <c r="D491" s="72"/>
      <c r="E491" s="69"/>
      <c r="F491" s="69"/>
      <c r="H491" s="72"/>
    </row>
    <row r="492" spans="1:8" s="73" customFormat="1" x14ac:dyDescent="0.25">
      <c r="A492" s="67"/>
      <c r="B492" s="68"/>
      <c r="C492" s="75"/>
      <c r="D492" s="72"/>
      <c r="E492" s="69"/>
      <c r="F492" s="69"/>
      <c r="H492" s="72"/>
    </row>
    <row r="493" spans="1:8" s="73" customFormat="1" x14ac:dyDescent="0.25">
      <c r="A493" s="67"/>
      <c r="B493" s="68"/>
      <c r="C493" s="75"/>
      <c r="D493" s="72"/>
      <c r="E493" s="69"/>
      <c r="F493" s="69"/>
      <c r="H493" s="72"/>
    </row>
    <row r="494" spans="1:8" s="73" customFormat="1" x14ac:dyDescent="0.25">
      <c r="A494" s="67"/>
      <c r="B494" s="68"/>
      <c r="C494" s="75"/>
      <c r="D494" s="72"/>
      <c r="E494" s="69"/>
      <c r="F494" s="69"/>
      <c r="H494" s="72"/>
    </row>
    <row r="495" spans="1:8" s="73" customFormat="1" x14ac:dyDescent="0.25">
      <c r="A495" s="67"/>
      <c r="B495" s="68"/>
      <c r="C495" s="75"/>
      <c r="D495" s="72"/>
      <c r="E495" s="69"/>
      <c r="F495" s="69"/>
      <c r="H495" s="72"/>
    </row>
    <row r="496" spans="1:8" s="73" customFormat="1" x14ac:dyDescent="0.25">
      <c r="A496" s="67"/>
      <c r="B496" s="68"/>
      <c r="C496" s="75"/>
      <c r="D496" s="72"/>
      <c r="E496" s="69"/>
      <c r="F496" s="69"/>
      <c r="H496" s="72"/>
    </row>
    <row r="497" spans="1:8" s="73" customFormat="1" x14ac:dyDescent="0.25">
      <c r="A497" s="67"/>
      <c r="B497" s="68"/>
      <c r="C497" s="75"/>
      <c r="D497" s="72"/>
      <c r="E497" s="69"/>
      <c r="F497" s="69"/>
      <c r="H497" s="72"/>
    </row>
    <row r="498" spans="1:8" s="73" customFormat="1" x14ac:dyDescent="0.25">
      <c r="A498" s="67"/>
      <c r="B498" s="68"/>
      <c r="C498" s="75"/>
      <c r="D498" s="72"/>
      <c r="E498" s="69"/>
      <c r="F498" s="69"/>
      <c r="H498" s="72"/>
    </row>
    <row r="499" spans="1:8" s="73" customFormat="1" x14ac:dyDescent="0.25">
      <c r="A499" s="67"/>
      <c r="B499" s="68"/>
      <c r="C499" s="75"/>
      <c r="D499" s="72"/>
      <c r="E499" s="69"/>
      <c r="F499" s="69"/>
      <c r="H499" s="72"/>
    </row>
    <row r="500" spans="1:8" s="73" customFormat="1" x14ac:dyDescent="0.25">
      <c r="A500" s="67"/>
      <c r="B500" s="68"/>
      <c r="C500" s="75"/>
      <c r="D500" s="72"/>
      <c r="E500" s="69"/>
      <c r="F500" s="69"/>
      <c r="H500" s="72"/>
    </row>
    <row r="501" spans="1:8" s="73" customFormat="1" x14ac:dyDescent="0.25">
      <c r="A501" s="67"/>
      <c r="B501" s="68"/>
      <c r="C501" s="75"/>
      <c r="D501" s="72"/>
      <c r="E501" s="69"/>
      <c r="F501" s="69"/>
      <c r="H501" s="72"/>
    </row>
    <row r="502" spans="1:8" s="73" customFormat="1" x14ac:dyDescent="0.25">
      <c r="A502" s="67"/>
      <c r="B502" s="68"/>
      <c r="C502" s="75"/>
      <c r="D502" s="72"/>
      <c r="E502" s="69"/>
      <c r="F502" s="69"/>
      <c r="H502" s="72"/>
    </row>
    <row r="503" spans="1:8" s="73" customFormat="1" x14ac:dyDescent="0.25">
      <c r="A503" s="67"/>
      <c r="B503" s="68"/>
      <c r="C503" s="75"/>
      <c r="D503" s="72"/>
      <c r="E503" s="69"/>
      <c r="F503" s="69"/>
      <c r="H503" s="72"/>
    </row>
    <row r="504" spans="1:8" s="73" customFormat="1" x14ac:dyDescent="0.25">
      <c r="A504" s="67"/>
      <c r="B504" s="68"/>
      <c r="C504" s="75"/>
      <c r="D504" s="72"/>
      <c r="E504" s="69"/>
      <c r="F504" s="69"/>
      <c r="H504" s="72"/>
    </row>
    <row r="505" spans="1:8" s="73" customFormat="1" x14ac:dyDescent="0.25">
      <c r="A505" s="67"/>
      <c r="B505" s="68"/>
      <c r="C505" s="75"/>
      <c r="D505" s="72"/>
      <c r="E505" s="69"/>
      <c r="F505" s="69"/>
      <c r="H505" s="72"/>
    </row>
    <row r="506" spans="1:8" s="73" customFormat="1" x14ac:dyDescent="0.25">
      <c r="A506" s="67"/>
      <c r="B506" s="68"/>
      <c r="C506" s="75"/>
      <c r="D506" s="72"/>
      <c r="E506" s="69"/>
      <c r="F506" s="69"/>
      <c r="H506" s="72"/>
    </row>
    <row r="507" spans="1:8" s="73" customFormat="1" x14ac:dyDescent="0.25">
      <c r="A507" s="67"/>
      <c r="B507" s="68"/>
      <c r="C507" s="75"/>
      <c r="D507" s="72"/>
      <c r="E507" s="69"/>
      <c r="F507" s="69"/>
      <c r="H507" s="72"/>
    </row>
    <row r="508" spans="1:8" s="73" customFormat="1" x14ac:dyDescent="0.25">
      <c r="A508" s="67"/>
      <c r="B508" s="68"/>
      <c r="C508" s="75"/>
      <c r="D508" s="72"/>
      <c r="E508" s="69"/>
      <c r="F508" s="69"/>
      <c r="H508" s="72"/>
    </row>
    <row r="509" spans="1:8" s="73" customFormat="1" x14ac:dyDescent="0.25">
      <c r="A509" s="67"/>
      <c r="B509" s="68"/>
      <c r="C509" s="75"/>
      <c r="D509" s="72"/>
      <c r="E509" s="69"/>
      <c r="F509" s="69"/>
      <c r="H509" s="72"/>
    </row>
    <row r="510" spans="1:8" s="73" customFormat="1" x14ac:dyDescent="0.25">
      <c r="A510" s="67"/>
      <c r="B510" s="68"/>
      <c r="C510" s="75"/>
      <c r="D510" s="72"/>
      <c r="E510" s="69"/>
      <c r="F510" s="69"/>
      <c r="H510" s="72"/>
    </row>
    <row r="511" spans="1:8" s="73" customFormat="1" x14ac:dyDescent="0.25">
      <c r="A511" s="67"/>
      <c r="B511" s="68"/>
      <c r="C511" s="75"/>
      <c r="D511" s="72"/>
      <c r="E511" s="69"/>
      <c r="F511" s="69"/>
      <c r="H511" s="72"/>
    </row>
    <row r="512" spans="1:8" s="73" customFormat="1" x14ac:dyDescent="0.25">
      <c r="A512" s="67"/>
      <c r="B512" s="68"/>
      <c r="C512" s="75"/>
      <c r="D512" s="72"/>
      <c r="E512" s="69"/>
      <c r="F512" s="69"/>
      <c r="H512" s="72"/>
    </row>
    <row r="513" spans="1:10" s="73" customFormat="1" x14ac:dyDescent="0.25">
      <c r="A513" s="67"/>
      <c r="B513" s="68"/>
      <c r="C513" s="75"/>
      <c r="D513" s="72"/>
      <c r="E513" s="69"/>
      <c r="F513" s="69"/>
      <c r="H513" s="72"/>
    </row>
    <row r="514" spans="1:10" s="73" customFormat="1" x14ac:dyDescent="0.25">
      <c r="A514" s="67"/>
      <c r="B514" s="68"/>
      <c r="C514" s="75"/>
      <c r="D514" s="72"/>
      <c r="E514" s="69"/>
      <c r="F514" s="69"/>
      <c r="H514" s="72"/>
    </row>
    <row r="515" spans="1:10" s="73" customFormat="1" x14ac:dyDescent="0.25">
      <c r="A515" s="67"/>
      <c r="B515" s="68"/>
      <c r="C515" s="75"/>
      <c r="D515" s="72"/>
      <c r="E515" s="69"/>
      <c r="F515" s="69"/>
      <c r="H515" s="72"/>
    </row>
    <row r="516" spans="1:10" s="73" customFormat="1" x14ac:dyDescent="0.25">
      <c r="A516" s="67"/>
      <c r="B516" s="68"/>
      <c r="C516" s="75"/>
      <c r="D516" s="72"/>
      <c r="E516" s="69"/>
      <c r="F516" s="69"/>
      <c r="H516" s="72"/>
    </row>
    <row r="517" spans="1:10" s="73" customFormat="1" x14ac:dyDescent="0.25">
      <c r="A517" s="67"/>
      <c r="B517" s="68"/>
      <c r="C517" s="75"/>
      <c r="D517" s="72"/>
      <c r="E517" s="69"/>
      <c r="F517" s="69"/>
      <c r="H517" s="72"/>
    </row>
    <row r="518" spans="1:10" s="73" customFormat="1" x14ac:dyDescent="0.25">
      <c r="A518" s="67"/>
      <c r="B518" s="68"/>
      <c r="C518" s="75"/>
      <c r="D518" s="72"/>
      <c r="E518" s="69"/>
      <c r="F518" s="69"/>
      <c r="H518" s="72"/>
    </row>
    <row r="519" spans="1:10" s="73" customFormat="1" x14ac:dyDescent="0.25">
      <c r="A519" s="67"/>
      <c r="B519" s="68"/>
      <c r="C519" s="75"/>
      <c r="D519" s="72"/>
      <c r="E519" s="69"/>
      <c r="F519" s="69"/>
      <c r="H519" s="72"/>
    </row>
    <row r="520" spans="1:10" s="73" customFormat="1" x14ac:dyDescent="0.25">
      <c r="A520" s="67"/>
      <c r="B520" s="68"/>
      <c r="C520" s="75"/>
      <c r="D520" s="72"/>
      <c r="E520" s="69"/>
      <c r="F520" s="69"/>
      <c r="H520" s="72"/>
    </row>
    <row r="521" spans="1:10" s="73" customFormat="1" x14ac:dyDescent="0.25">
      <c r="A521" s="67"/>
      <c r="B521" s="68"/>
      <c r="C521" s="75"/>
      <c r="D521" s="72"/>
      <c r="E521" s="69"/>
      <c r="F521" s="69"/>
      <c r="H521" s="72"/>
    </row>
    <row r="522" spans="1:10" s="73" customFormat="1" x14ac:dyDescent="0.25">
      <c r="A522" s="67"/>
      <c r="B522" s="68"/>
      <c r="C522" s="75"/>
      <c r="D522" s="72"/>
      <c r="E522" s="69"/>
      <c r="F522" s="69"/>
      <c r="H522" s="72"/>
    </row>
    <row r="523" spans="1:10" s="73" customFormat="1" x14ac:dyDescent="0.25">
      <c r="A523" s="67"/>
      <c r="B523" s="68"/>
      <c r="C523" s="75"/>
      <c r="D523" s="72"/>
      <c r="E523" s="69"/>
      <c r="F523" s="69"/>
      <c r="H523" s="72"/>
    </row>
    <row r="524" spans="1:10" x14ac:dyDescent="0.25">
      <c r="A524" s="67"/>
      <c r="D524" s="72"/>
      <c r="E524" s="69"/>
      <c r="F524" s="69"/>
      <c r="G524" s="73"/>
      <c r="I524" s="73"/>
      <c r="J524" s="73"/>
    </row>
    <row r="525" spans="1:10" x14ac:dyDescent="0.25">
      <c r="A525" s="67"/>
      <c r="D525" s="72"/>
      <c r="E525" s="69"/>
      <c r="F525" s="69"/>
      <c r="G525" s="73"/>
      <c r="I525" s="73"/>
      <c r="J525" s="73"/>
    </row>
  </sheetData>
  <mergeCells count="1">
    <mergeCell ref="C2:G2"/>
  </mergeCells>
  <conditionalFormatting sqref="A289:A1048576 A280:A287 A2:A19 A21:A261">
    <cfRule type="cellIs" dxfId="39" priority="76" operator="equal">
      <formula>$K$2</formula>
    </cfRule>
    <cfRule type="cellIs" dxfId="38" priority="77" operator="lessThan">
      <formula>$B$2</formula>
    </cfRule>
    <cfRule type="cellIs" dxfId="37" priority="78" operator="equal">
      <formula>$B$2</formula>
    </cfRule>
  </conditionalFormatting>
  <conditionalFormatting sqref="A262:A266">
    <cfRule type="cellIs" dxfId="36" priority="25" operator="equal">
      <formula>$K$2</formula>
    </cfRule>
    <cfRule type="cellIs" dxfId="35" priority="26" operator="lessThan">
      <formula>$B$2</formula>
    </cfRule>
    <cfRule type="cellIs" dxfId="34" priority="27" operator="equal">
      <formula>$B$2</formula>
    </cfRule>
  </conditionalFormatting>
  <conditionalFormatting sqref="A267 A269 A274:A278">
    <cfRule type="cellIs" dxfId="33" priority="22" operator="equal">
      <formula>$K$2</formula>
    </cfRule>
    <cfRule type="cellIs" dxfId="32" priority="23" operator="lessThan">
      <formula>$B$2</formula>
    </cfRule>
    <cfRule type="cellIs" dxfId="31" priority="24" operator="equal">
      <formula>$B$2</formula>
    </cfRule>
  </conditionalFormatting>
  <conditionalFormatting sqref="A279">
    <cfRule type="cellIs" dxfId="30" priority="19" operator="equal">
      <formula>$K$2</formula>
    </cfRule>
    <cfRule type="cellIs" dxfId="29" priority="20" operator="lessThan">
      <formula>$B$2</formula>
    </cfRule>
    <cfRule type="cellIs" dxfId="28" priority="21" operator="equal">
      <formula>$B$2</formula>
    </cfRule>
  </conditionalFormatting>
  <conditionalFormatting sqref="A268">
    <cfRule type="cellIs" dxfId="27" priority="16" operator="equal">
      <formula>$K$2</formula>
    </cfRule>
    <cfRule type="cellIs" dxfId="26" priority="17" operator="lessThan">
      <formula>$B$2</formula>
    </cfRule>
    <cfRule type="cellIs" dxfId="25" priority="18" operator="equal">
      <formula>$B$2</formula>
    </cfRule>
  </conditionalFormatting>
  <conditionalFormatting sqref="A270">
    <cfRule type="cellIs" dxfId="24" priority="13" operator="equal">
      <formula>$K$2</formula>
    </cfRule>
    <cfRule type="cellIs" dxfId="23" priority="14" operator="lessThan">
      <formula>$B$2</formula>
    </cfRule>
    <cfRule type="cellIs" dxfId="22" priority="15" operator="equal">
      <formula>$B$2</formula>
    </cfRule>
  </conditionalFormatting>
  <conditionalFormatting sqref="A271">
    <cfRule type="cellIs" dxfId="21" priority="10" operator="equal">
      <formula>$K$2</formula>
    </cfRule>
    <cfRule type="cellIs" dxfId="20" priority="11" operator="lessThan">
      <formula>$B$2</formula>
    </cfRule>
    <cfRule type="cellIs" dxfId="19" priority="12" operator="equal">
      <formula>$B$2</formula>
    </cfRule>
  </conditionalFormatting>
  <conditionalFormatting sqref="A272">
    <cfRule type="cellIs" dxfId="18" priority="7" operator="equal">
      <formula>$K$2</formula>
    </cfRule>
    <cfRule type="cellIs" dxfId="17" priority="8" operator="lessThan">
      <formula>$B$2</formula>
    </cfRule>
    <cfRule type="cellIs" dxfId="16" priority="9" operator="equal">
      <formula>$B$2</formula>
    </cfRule>
  </conditionalFormatting>
  <conditionalFormatting sqref="A273">
    <cfRule type="cellIs" dxfId="15" priority="4" operator="equal">
      <formula>$K$2</formula>
    </cfRule>
    <cfRule type="cellIs" dxfId="14" priority="5" operator="lessThan">
      <formula>$B$2</formula>
    </cfRule>
    <cfRule type="cellIs" dxfId="13" priority="6" operator="equal">
      <formula>$B$2</formula>
    </cfRule>
  </conditionalFormatting>
  <conditionalFormatting sqref="A20">
    <cfRule type="cellIs" dxfId="12" priority="1" operator="equal">
      <formula>$K$2</formula>
    </cfRule>
    <cfRule type="cellIs" dxfId="11" priority="2" operator="lessThan">
      <formula>$B$2</formula>
    </cfRule>
    <cfRule type="cellIs" dxfId="10" priority="3" operator="equal">
      <formula>$B$2</formula>
    </cfRule>
  </conditionalFormatting>
  <dataValidations count="5">
    <dataValidation type="list" allowBlank="1" showInputMessage="1" showErrorMessage="1" sqref="D223:D226">
      <formula1>etapes</formula1>
    </dataValidation>
    <dataValidation type="list" allowBlank="1" showInputMessage="1" showErrorMessage="1" sqref="C4:C287">
      <formula1>SousCaté</formula1>
    </dataValidation>
    <dataValidation type="list" allowBlank="1" showInputMessage="1" showErrorMessage="1" sqref="E4:E287">
      <formula1>Priorité</formula1>
    </dataValidation>
    <dataValidation type="list" allowBlank="1" showInputMessage="1" showErrorMessage="1" sqref="H4:H287">
      <formula1>Statut</formula1>
    </dataValidation>
    <dataValidation type="list" allowBlank="1" showInputMessage="1" showErrorMessage="1" sqref="B4:B287">
      <formula1>Caté</formula1>
    </dataValidation>
  </dataValidations>
  <pageMargins left="0.7" right="0.7" top="0.75" bottom="0.75" header="0.3" footer="0.3"/>
  <pageSetup paperSize="9" scale="11" orientation="landscape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24"/>
  <sheetViews>
    <sheetView zoomScale="115" zoomScaleNormal="115" workbookViewId="0">
      <selection activeCell="E5" sqref="E5"/>
    </sheetView>
  </sheetViews>
  <sheetFormatPr baseColWidth="10" defaultRowHeight="15" x14ac:dyDescent="0.25"/>
  <cols>
    <col min="1" max="1" width="25.28515625" customWidth="1"/>
    <col min="2" max="2" width="4.28515625" customWidth="1"/>
    <col min="3" max="3" width="24.28515625" customWidth="1"/>
    <col min="4" max="4" width="2.28515625" customWidth="1"/>
    <col min="5" max="5" width="14.28515625" customWidth="1"/>
    <col min="6" max="6" width="2.28515625" customWidth="1"/>
    <col min="7" max="7" width="18.42578125" customWidth="1"/>
    <col min="8" max="8" width="2.28515625" customWidth="1"/>
  </cols>
  <sheetData>
    <row r="1" spans="1:9" s="19" customFormat="1" ht="18.75" x14ac:dyDescent="0.3">
      <c r="A1" s="14" t="s">
        <v>42</v>
      </c>
      <c r="B1" s="14"/>
      <c r="C1" s="45" t="s">
        <v>41</v>
      </c>
      <c r="E1" s="46" t="s">
        <v>5</v>
      </c>
      <c r="G1" s="46" t="s">
        <v>19</v>
      </c>
      <c r="I1" s="46" t="s">
        <v>46</v>
      </c>
    </row>
    <row r="2" spans="1:9" x14ac:dyDescent="0.25">
      <c r="A2" s="1" t="s">
        <v>43</v>
      </c>
      <c r="C2" s="1" t="s">
        <v>36</v>
      </c>
      <c r="E2" s="1" t="s">
        <v>49</v>
      </c>
      <c r="G2" s="1" t="s">
        <v>29</v>
      </c>
      <c r="I2" s="1">
        <v>100</v>
      </c>
    </row>
    <row r="3" spans="1:9" x14ac:dyDescent="0.25">
      <c r="A3" s="1" t="s">
        <v>44</v>
      </c>
      <c r="C3" s="1" t="s">
        <v>37</v>
      </c>
      <c r="E3" s="1" t="s">
        <v>24</v>
      </c>
      <c r="G3" s="1" t="s">
        <v>30</v>
      </c>
      <c r="I3" s="1">
        <v>95</v>
      </c>
    </row>
    <row r="4" spans="1:9" x14ac:dyDescent="0.25">
      <c r="A4" s="1" t="s">
        <v>45</v>
      </c>
      <c r="C4" s="1" t="s">
        <v>62</v>
      </c>
      <c r="E4" s="1" t="s">
        <v>50</v>
      </c>
      <c r="G4" s="1" t="s">
        <v>31</v>
      </c>
      <c r="I4" s="1">
        <v>90</v>
      </c>
    </row>
    <row r="5" spans="1:9" x14ac:dyDescent="0.25">
      <c r="A5" s="1"/>
      <c r="C5" s="1" t="s">
        <v>63</v>
      </c>
      <c r="E5" s="1" t="s">
        <v>82</v>
      </c>
      <c r="G5" s="1" t="s">
        <v>32</v>
      </c>
      <c r="I5" s="1">
        <v>85</v>
      </c>
    </row>
    <row r="6" spans="1:9" x14ac:dyDescent="0.25">
      <c r="A6" s="1"/>
      <c r="C6" s="1" t="s">
        <v>74</v>
      </c>
      <c r="E6" s="1" t="s">
        <v>51</v>
      </c>
      <c r="G6" s="1" t="s">
        <v>33</v>
      </c>
      <c r="I6" s="1">
        <v>80</v>
      </c>
    </row>
    <row r="7" spans="1:9" x14ac:dyDescent="0.25">
      <c r="A7" s="1"/>
      <c r="C7" s="1" t="s">
        <v>78</v>
      </c>
      <c r="G7" s="1" t="s">
        <v>34</v>
      </c>
      <c r="I7" s="1">
        <v>75</v>
      </c>
    </row>
    <row r="8" spans="1:9" x14ac:dyDescent="0.25">
      <c r="A8" s="1"/>
      <c r="C8" s="1"/>
      <c r="G8" s="1" t="s">
        <v>35</v>
      </c>
      <c r="I8" s="1">
        <v>70</v>
      </c>
    </row>
    <row r="9" spans="1:9" x14ac:dyDescent="0.25">
      <c r="A9" s="1"/>
      <c r="C9" s="1"/>
      <c r="G9" s="1" t="s">
        <v>38</v>
      </c>
      <c r="I9" s="1">
        <v>65</v>
      </c>
    </row>
    <row r="10" spans="1:9" x14ac:dyDescent="0.25">
      <c r="A10" s="1"/>
      <c r="C10" s="2"/>
      <c r="G10" s="1" t="s">
        <v>39</v>
      </c>
      <c r="I10" s="1">
        <v>60</v>
      </c>
    </row>
    <row r="11" spans="1:9" x14ac:dyDescent="0.25">
      <c r="A11" s="1"/>
      <c r="C11" s="1"/>
      <c r="I11" s="1">
        <v>55</v>
      </c>
    </row>
    <row r="12" spans="1:9" x14ac:dyDescent="0.25">
      <c r="A12" s="1"/>
      <c r="C12" s="18"/>
      <c r="I12" s="1">
        <v>50</v>
      </c>
    </row>
    <row r="13" spans="1:9" x14ac:dyDescent="0.25">
      <c r="A13" s="1"/>
      <c r="C13" s="1"/>
      <c r="I13" s="1">
        <v>40</v>
      </c>
    </row>
    <row r="14" spans="1:9" x14ac:dyDescent="0.25">
      <c r="A14" s="1"/>
      <c r="C14" s="18"/>
      <c r="I14" s="1">
        <v>30</v>
      </c>
    </row>
    <row r="15" spans="1:9" x14ac:dyDescent="0.25">
      <c r="A15" s="1"/>
      <c r="C15" s="1"/>
      <c r="I15" s="1">
        <v>20</v>
      </c>
    </row>
    <row r="16" spans="1:9" x14ac:dyDescent="0.25">
      <c r="A16" s="1"/>
      <c r="C16" s="1"/>
      <c r="I16" s="1">
        <v>10</v>
      </c>
    </row>
    <row r="17" spans="1:3" x14ac:dyDescent="0.25">
      <c r="A17" s="1"/>
      <c r="C17" s="1"/>
    </row>
    <row r="18" spans="1:3" x14ac:dyDescent="0.25">
      <c r="A18" s="1"/>
      <c r="C18" s="1"/>
    </row>
    <row r="19" spans="1:3" x14ac:dyDescent="0.25">
      <c r="A19" s="1"/>
      <c r="C19" s="1"/>
    </row>
    <row r="20" spans="1:3" x14ac:dyDescent="0.25">
      <c r="A20" s="1"/>
      <c r="C20" s="1"/>
    </row>
    <row r="21" spans="1:3" x14ac:dyDescent="0.25">
      <c r="A21" s="1"/>
      <c r="C21" s="1"/>
    </row>
    <row r="22" spans="1:3" x14ac:dyDescent="0.25">
      <c r="A22" s="1"/>
      <c r="C22" s="1"/>
    </row>
    <row r="23" spans="1:3" x14ac:dyDescent="0.25">
      <c r="A23" s="1"/>
      <c r="C23" s="1"/>
    </row>
    <row r="24" spans="1:3" x14ac:dyDescent="0.25">
      <c r="A24" s="1"/>
      <c r="C24" s="1"/>
    </row>
  </sheetData>
  <sortState ref="C2:C20">
    <sortCondition ref="C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M33"/>
  <sheetViews>
    <sheetView topLeftCell="A30" workbookViewId="0">
      <selection activeCell="H32" sqref="H32"/>
    </sheetView>
  </sheetViews>
  <sheetFormatPr baseColWidth="10" defaultRowHeight="15" x14ac:dyDescent="0.25"/>
  <sheetData>
    <row r="2" spans="1:13" x14ac:dyDescent="0.25">
      <c r="A2" t="s">
        <v>6</v>
      </c>
      <c r="B2" t="s">
        <v>25</v>
      </c>
      <c r="D2" t="s">
        <v>9</v>
      </c>
      <c r="E2" t="s">
        <v>26</v>
      </c>
      <c r="L2" t="s">
        <v>7</v>
      </c>
      <c r="M2" t="s">
        <v>8</v>
      </c>
    </row>
    <row r="33" spans="1:1" x14ac:dyDescent="0.25">
      <c r="A33" t="s">
        <v>53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1:H17"/>
  <sheetViews>
    <sheetView workbookViewId="0">
      <selection activeCell="F12" sqref="F12"/>
    </sheetView>
  </sheetViews>
  <sheetFormatPr baseColWidth="10" defaultRowHeight="15" x14ac:dyDescent="0.25"/>
  <sheetData>
    <row r="1" spans="2:2" x14ac:dyDescent="0.25">
      <c r="B1" t="s">
        <v>23</v>
      </c>
    </row>
    <row r="5" spans="2:2" x14ac:dyDescent="0.25">
      <c r="B5" t="str">
        <f>B1</f>
        <v>=</v>
      </c>
    </row>
    <row r="17" spans="8:8" x14ac:dyDescent="0.25">
      <c r="H17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10</vt:i4>
      </vt:variant>
    </vt:vector>
  </HeadingPairs>
  <TitlesOfParts>
    <vt:vector size="15" baseType="lpstr">
      <vt:lpstr>PROJET</vt:lpstr>
      <vt:lpstr>Backlog Produit</vt:lpstr>
      <vt:lpstr>Paramètres</vt:lpstr>
      <vt:lpstr>Board  Trello</vt:lpstr>
      <vt:lpstr>Feuil2</vt:lpstr>
      <vt:lpstr>cat</vt:lpstr>
      <vt:lpstr>Caté</vt:lpstr>
      <vt:lpstr>etapes</vt:lpstr>
      <vt:lpstr>Priorité</vt:lpstr>
      <vt:lpstr>ressources</vt:lpstr>
      <vt:lpstr>selection</vt:lpstr>
      <vt:lpstr>SousCaté</vt:lpstr>
      <vt:lpstr>Statut</vt:lpstr>
      <vt:lpstr>toto</vt:lpstr>
      <vt:lpstr>'Backlog Produit'!Zone_d_impression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</dc:creator>
  <cp:lastModifiedBy>aramaa</cp:lastModifiedBy>
  <cp:lastPrinted>2015-05-04T13:30:33Z</cp:lastPrinted>
  <dcterms:created xsi:type="dcterms:W3CDTF">2012-04-30T15:08:16Z</dcterms:created>
  <dcterms:modified xsi:type="dcterms:W3CDTF">2015-05-12T12:44:30Z</dcterms:modified>
</cp:coreProperties>
</file>